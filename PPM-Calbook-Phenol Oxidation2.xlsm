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26006970\Desktop\"/>
    </mc:Choice>
  </mc:AlternateContent>
  <bookViews>
    <workbookView xWindow="0" yWindow="0" windowWidth="15480" windowHeight="7455"/>
  </bookViews>
  <sheets>
    <sheet name="Prototype" sheetId="5" r:id="rId1"/>
    <sheet name="Database" sheetId="3" r:id="rId2"/>
    <sheet name="Sheet1" sheetId="6" r:id="rId3"/>
    <sheet name="Monitor" sheetId="2" r:id="rId4"/>
    <sheet name="Calculation" sheetId="1" r:id="rId5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6" l="1"/>
  <c r="C4" i="6" s="1"/>
  <c r="E7" i="5" a="1"/>
  <c r="G11" i="6" a="1"/>
  <c r="B14" i="6" a="1"/>
  <c r="E7" i="5" l="1"/>
  <c r="G11" i="6"/>
  <c r="H11" i="6"/>
  <c r="B14" i="6"/>
  <c r="Y5" i="3"/>
  <c r="R6" i="3"/>
  <c r="T6" i="3" s="1"/>
  <c r="V5" i="3"/>
  <c r="I43" i="5"/>
  <c r="W5" i="3" l="1"/>
  <c r="S6" i="3"/>
  <c r="S12" i="3"/>
  <c r="S20" i="3"/>
  <c r="S28" i="3"/>
  <c r="S32" i="3"/>
  <c r="S36" i="3"/>
  <c r="S44" i="3"/>
  <c r="S52" i="3"/>
  <c r="S60" i="3"/>
  <c r="S64" i="3"/>
  <c r="S68" i="3"/>
  <c r="S76" i="3"/>
  <c r="S84" i="3"/>
  <c r="S92" i="3"/>
  <c r="S96" i="3"/>
  <c r="S100" i="3"/>
  <c r="S108" i="3"/>
  <c r="S116" i="3"/>
  <c r="S124" i="3"/>
  <c r="S128" i="3"/>
  <c r="S132" i="3"/>
  <c r="S140" i="3"/>
  <c r="S148" i="3"/>
  <c r="S156" i="3"/>
  <c r="S160" i="3"/>
  <c r="S164" i="3"/>
  <c r="S172" i="3"/>
  <c r="S180" i="3"/>
  <c r="S188" i="3"/>
  <c r="S192" i="3"/>
  <c r="S196" i="3"/>
  <c r="S204" i="3"/>
  <c r="S212" i="3"/>
  <c r="S220" i="3"/>
  <c r="S224" i="3"/>
  <c r="S228" i="3"/>
  <c r="S236" i="3"/>
  <c r="S244" i="3"/>
  <c r="S252" i="3"/>
  <c r="S256" i="3"/>
  <c r="S260" i="3"/>
  <c r="S268" i="3"/>
  <c r="S276" i="3"/>
  <c r="S284" i="3"/>
  <c r="S288" i="3"/>
  <c r="R7" i="3"/>
  <c r="S7" i="3" s="1"/>
  <c r="R8" i="3"/>
  <c r="S8" i="3" s="1"/>
  <c r="R9" i="3"/>
  <c r="S9" i="3" s="1"/>
  <c r="R10" i="3"/>
  <c r="S10" i="3" s="1"/>
  <c r="R11" i="3"/>
  <c r="S11" i="3" s="1"/>
  <c r="R12" i="3"/>
  <c r="R13" i="3"/>
  <c r="S13" i="3" s="1"/>
  <c r="R14" i="3"/>
  <c r="S14" i="3" s="1"/>
  <c r="R15" i="3"/>
  <c r="S15" i="3" s="1"/>
  <c r="R16" i="3"/>
  <c r="S16" i="3" s="1"/>
  <c r="R17" i="3"/>
  <c r="S17" i="3" s="1"/>
  <c r="R18" i="3"/>
  <c r="S18" i="3" s="1"/>
  <c r="R19" i="3"/>
  <c r="S19" i="3" s="1"/>
  <c r="R20" i="3"/>
  <c r="R21" i="3"/>
  <c r="S21" i="3" s="1"/>
  <c r="R22" i="3"/>
  <c r="S22" i="3" s="1"/>
  <c r="R23" i="3"/>
  <c r="S23" i="3" s="1"/>
  <c r="R24" i="3"/>
  <c r="S24" i="3" s="1"/>
  <c r="R25" i="3"/>
  <c r="S25" i="3" s="1"/>
  <c r="R26" i="3"/>
  <c r="S26" i="3" s="1"/>
  <c r="R27" i="3"/>
  <c r="S27" i="3" s="1"/>
  <c r="R28" i="3"/>
  <c r="R29" i="3"/>
  <c r="S29" i="3" s="1"/>
  <c r="R30" i="3"/>
  <c r="S30" i="3" s="1"/>
  <c r="R31" i="3"/>
  <c r="S31" i="3" s="1"/>
  <c r="R32" i="3"/>
  <c r="R33" i="3"/>
  <c r="S33" i="3" s="1"/>
  <c r="R34" i="3"/>
  <c r="S34" i="3" s="1"/>
  <c r="R35" i="3"/>
  <c r="S35" i="3" s="1"/>
  <c r="R36" i="3"/>
  <c r="R37" i="3"/>
  <c r="S37" i="3" s="1"/>
  <c r="R38" i="3"/>
  <c r="S38" i="3" s="1"/>
  <c r="R39" i="3"/>
  <c r="S39" i="3" s="1"/>
  <c r="R40" i="3"/>
  <c r="S40" i="3" s="1"/>
  <c r="R41" i="3"/>
  <c r="S41" i="3" s="1"/>
  <c r="R42" i="3"/>
  <c r="S42" i="3" s="1"/>
  <c r="R43" i="3"/>
  <c r="S43" i="3" s="1"/>
  <c r="R44" i="3"/>
  <c r="R45" i="3"/>
  <c r="S45" i="3" s="1"/>
  <c r="R46" i="3"/>
  <c r="S46" i="3" s="1"/>
  <c r="R47" i="3"/>
  <c r="S47" i="3" s="1"/>
  <c r="R48" i="3"/>
  <c r="S48" i="3" s="1"/>
  <c r="R49" i="3"/>
  <c r="S49" i="3" s="1"/>
  <c r="R50" i="3"/>
  <c r="S50" i="3" s="1"/>
  <c r="R51" i="3"/>
  <c r="S51" i="3" s="1"/>
  <c r="R52" i="3"/>
  <c r="R53" i="3"/>
  <c r="S53" i="3" s="1"/>
  <c r="R54" i="3"/>
  <c r="S54" i="3" s="1"/>
  <c r="R55" i="3"/>
  <c r="S55" i="3" s="1"/>
  <c r="R56" i="3"/>
  <c r="S56" i="3" s="1"/>
  <c r="R57" i="3"/>
  <c r="S57" i="3" s="1"/>
  <c r="R58" i="3"/>
  <c r="S58" i="3" s="1"/>
  <c r="R59" i="3"/>
  <c r="S59" i="3" s="1"/>
  <c r="R60" i="3"/>
  <c r="R61" i="3"/>
  <c r="S61" i="3" s="1"/>
  <c r="R62" i="3"/>
  <c r="S62" i="3" s="1"/>
  <c r="R63" i="3"/>
  <c r="S63" i="3" s="1"/>
  <c r="R64" i="3"/>
  <c r="R65" i="3"/>
  <c r="S65" i="3" s="1"/>
  <c r="R66" i="3"/>
  <c r="S66" i="3" s="1"/>
  <c r="R67" i="3"/>
  <c r="S67" i="3" s="1"/>
  <c r="R68" i="3"/>
  <c r="R69" i="3"/>
  <c r="S69" i="3" s="1"/>
  <c r="R70" i="3"/>
  <c r="S70" i="3" s="1"/>
  <c r="R71" i="3"/>
  <c r="S71" i="3" s="1"/>
  <c r="R72" i="3"/>
  <c r="S72" i="3" s="1"/>
  <c r="R73" i="3"/>
  <c r="S73" i="3" s="1"/>
  <c r="R74" i="3"/>
  <c r="S74" i="3" s="1"/>
  <c r="R75" i="3"/>
  <c r="S75" i="3" s="1"/>
  <c r="R76" i="3"/>
  <c r="R77" i="3"/>
  <c r="S77" i="3" s="1"/>
  <c r="R78" i="3"/>
  <c r="S78" i="3" s="1"/>
  <c r="R79" i="3"/>
  <c r="S79" i="3" s="1"/>
  <c r="R80" i="3"/>
  <c r="S80" i="3" s="1"/>
  <c r="R81" i="3"/>
  <c r="S81" i="3" s="1"/>
  <c r="R82" i="3"/>
  <c r="S82" i="3" s="1"/>
  <c r="R83" i="3"/>
  <c r="S83" i="3" s="1"/>
  <c r="R84" i="3"/>
  <c r="R85" i="3"/>
  <c r="S85" i="3" s="1"/>
  <c r="R86" i="3"/>
  <c r="S86" i="3" s="1"/>
  <c r="R87" i="3"/>
  <c r="S87" i="3" s="1"/>
  <c r="R88" i="3"/>
  <c r="S88" i="3" s="1"/>
  <c r="R89" i="3"/>
  <c r="S89" i="3" s="1"/>
  <c r="R90" i="3"/>
  <c r="S90" i="3" s="1"/>
  <c r="R91" i="3"/>
  <c r="S91" i="3" s="1"/>
  <c r="R92" i="3"/>
  <c r="R93" i="3"/>
  <c r="S93" i="3" s="1"/>
  <c r="R94" i="3"/>
  <c r="S94" i="3" s="1"/>
  <c r="R95" i="3"/>
  <c r="S95" i="3" s="1"/>
  <c r="R96" i="3"/>
  <c r="R97" i="3"/>
  <c r="S97" i="3" s="1"/>
  <c r="R98" i="3"/>
  <c r="S98" i="3" s="1"/>
  <c r="R99" i="3"/>
  <c r="S99" i="3" s="1"/>
  <c r="R100" i="3"/>
  <c r="R101" i="3"/>
  <c r="S101" i="3" s="1"/>
  <c r="R102" i="3"/>
  <c r="S102" i="3" s="1"/>
  <c r="R103" i="3"/>
  <c r="S103" i="3" s="1"/>
  <c r="R104" i="3"/>
  <c r="S104" i="3" s="1"/>
  <c r="R105" i="3"/>
  <c r="S105" i="3" s="1"/>
  <c r="R106" i="3"/>
  <c r="S106" i="3" s="1"/>
  <c r="R107" i="3"/>
  <c r="S107" i="3" s="1"/>
  <c r="R108" i="3"/>
  <c r="R109" i="3"/>
  <c r="S109" i="3" s="1"/>
  <c r="R110" i="3"/>
  <c r="S110" i="3" s="1"/>
  <c r="R111" i="3"/>
  <c r="S111" i="3" s="1"/>
  <c r="R112" i="3"/>
  <c r="S112" i="3" s="1"/>
  <c r="R113" i="3"/>
  <c r="S113" i="3" s="1"/>
  <c r="R114" i="3"/>
  <c r="S114" i="3" s="1"/>
  <c r="R115" i="3"/>
  <c r="S115" i="3" s="1"/>
  <c r="R116" i="3"/>
  <c r="R117" i="3"/>
  <c r="S117" i="3" s="1"/>
  <c r="R118" i="3"/>
  <c r="S118" i="3" s="1"/>
  <c r="R119" i="3"/>
  <c r="S119" i="3" s="1"/>
  <c r="R120" i="3"/>
  <c r="S120" i="3" s="1"/>
  <c r="R121" i="3"/>
  <c r="S121" i="3" s="1"/>
  <c r="R122" i="3"/>
  <c r="S122" i="3" s="1"/>
  <c r="R123" i="3"/>
  <c r="S123" i="3" s="1"/>
  <c r="R124" i="3"/>
  <c r="R125" i="3"/>
  <c r="S125" i="3" s="1"/>
  <c r="R126" i="3"/>
  <c r="S126" i="3" s="1"/>
  <c r="R127" i="3"/>
  <c r="S127" i="3" s="1"/>
  <c r="R128" i="3"/>
  <c r="R129" i="3"/>
  <c r="S129" i="3" s="1"/>
  <c r="R130" i="3"/>
  <c r="S130" i="3" s="1"/>
  <c r="R131" i="3"/>
  <c r="S131" i="3" s="1"/>
  <c r="R132" i="3"/>
  <c r="R133" i="3"/>
  <c r="S133" i="3" s="1"/>
  <c r="R134" i="3"/>
  <c r="S134" i="3" s="1"/>
  <c r="R135" i="3"/>
  <c r="S135" i="3" s="1"/>
  <c r="R136" i="3"/>
  <c r="S136" i="3" s="1"/>
  <c r="R137" i="3"/>
  <c r="S137" i="3" s="1"/>
  <c r="R138" i="3"/>
  <c r="S138" i="3" s="1"/>
  <c r="R139" i="3"/>
  <c r="S139" i="3" s="1"/>
  <c r="R140" i="3"/>
  <c r="R141" i="3"/>
  <c r="S141" i="3" s="1"/>
  <c r="R142" i="3"/>
  <c r="S142" i="3" s="1"/>
  <c r="R143" i="3"/>
  <c r="S143" i="3" s="1"/>
  <c r="R144" i="3"/>
  <c r="S144" i="3" s="1"/>
  <c r="R145" i="3"/>
  <c r="S145" i="3" s="1"/>
  <c r="R146" i="3"/>
  <c r="S146" i="3" s="1"/>
  <c r="R147" i="3"/>
  <c r="S147" i="3" s="1"/>
  <c r="R148" i="3"/>
  <c r="R149" i="3"/>
  <c r="S149" i="3" s="1"/>
  <c r="R150" i="3"/>
  <c r="S150" i="3" s="1"/>
  <c r="R151" i="3"/>
  <c r="S151" i="3" s="1"/>
  <c r="R152" i="3"/>
  <c r="S152" i="3" s="1"/>
  <c r="R153" i="3"/>
  <c r="S153" i="3" s="1"/>
  <c r="R154" i="3"/>
  <c r="S154" i="3" s="1"/>
  <c r="R155" i="3"/>
  <c r="S155" i="3" s="1"/>
  <c r="R156" i="3"/>
  <c r="R157" i="3"/>
  <c r="S157" i="3" s="1"/>
  <c r="R158" i="3"/>
  <c r="S158" i="3" s="1"/>
  <c r="R159" i="3"/>
  <c r="S159" i="3" s="1"/>
  <c r="R160" i="3"/>
  <c r="R161" i="3"/>
  <c r="S161" i="3" s="1"/>
  <c r="R162" i="3"/>
  <c r="S162" i="3" s="1"/>
  <c r="R163" i="3"/>
  <c r="S163" i="3" s="1"/>
  <c r="R164" i="3"/>
  <c r="R165" i="3"/>
  <c r="S165" i="3" s="1"/>
  <c r="R166" i="3"/>
  <c r="S166" i="3" s="1"/>
  <c r="R167" i="3"/>
  <c r="S167" i="3" s="1"/>
  <c r="R168" i="3"/>
  <c r="S168" i="3" s="1"/>
  <c r="R169" i="3"/>
  <c r="S169" i="3" s="1"/>
  <c r="R170" i="3"/>
  <c r="S170" i="3" s="1"/>
  <c r="R171" i="3"/>
  <c r="S171" i="3" s="1"/>
  <c r="R172" i="3"/>
  <c r="R173" i="3"/>
  <c r="S173" i="3" s="1"/>
  <c r="R174" i="3"/>
  <c r="S174" i="3" s="1"/>
  <c r="R175" i="3"/>
  <c r="S175" i="3" s="1"/>
  <c r="R176" i="3"/>
  <c r="S176" i="3" s="1"/>
  <c r="R177" i="3"/>
  <c r="S177" i="3" s="1"/>
  <c r="R178" i="3"/>
  <c r="S178" i="3" s="1"/>
  <c r="R179" i="3"/>
  <c r="S179" i="3" s="1"/>
  <c r="R180" i="3"/>
  <c r="R181" i="3"/>
  <c r="S181" i="3" s="1"/>
  <c r="R182" i="3"/>
  <c r="S182" i="3" s="1"/>
  <c r="R183" i="3"/>
  <c r="S183" i="3" s="1"/>
  <c r="R184" i="3"/>
  <c r="S184" i="3" s="1"/>
  <c r="R185" i="3"/>
  <c r="S185" i="3" s="1"/>
  <c r="R186" i="3"/>
  <c r="S186" i="3" s="1"/>
  <c r="R187" i="3"/>
  <c r="S187" i="3" s="1"/>
  <c r="R188" i="3"/>
  <c r="R189" i="3"/>
  <c r="S189" i="3" s="1"/>
  <c r="R190" i="3"/>
  <c r="S190" i="3" s="1"/>
  <c r="R191" i="3"/>
  <c r="S191" i="3" s="1"/>
  <c r="R192" i="3"/>
  <c r="R193" i="3"/>
  <c r="S193" i="3" s="1"/>
  <c r="R194" i="3"/>
  <c r="S194" i="3" s="1"/>
  <c r="R195" i="3"/>
  <c r="S195" i="3" s="1"/>
  <c r="R196" i="3"/>
  <c r="R197" i="3"/>
  <c r="S197" i="3" s="1"/>
  <c r="R198" i="3"/>
  <c r="S198" i="3" s="1"/>
  <c r="R199" i="3"/>
  <c r="S199" i="3" s="1"/>
  <c r="R200" i="3"/>
  <c r="S200" i="3" s="1"/>
  <c r="R201" i="3"/>
  <c r="S201" i="3" s="1"/>
  <c r="R202" i="3"/>
  <c r="S202" i="3" s="1"/>
  <c r="R203" i="3"/>
  <c r="S203" i="3" s="1"/>
  <c r="R204" i="3"/>
  <c r="R205" i="3"/>
  <c r="S205" i="3" s="1"/>
  <c r="R206" i="3"/>
  <c r="S206" i="3" s="1"/>
  <c r="R207" i="3"/>
  <c r="S207" i="3" s="1"/>
  <c r="R208" i="3"/>
  <c r="S208" i="3" s="1"/>
  <c r="R209" i="3"/>
  <c r="S209" i="3" s="1"/>
  <c r="R210" i="3"/>
  <c r="S210" i="3" s="1"/>
  <c r="R211" i="3"/>
  <c r="S211" i="3" s="1"/>
  <c r="R212" i="3"/>
  <c r="R213" i="3"/>
  <c r="S213" i="3" s="1"/>
  <c r="R214" i="3"/>
  <c r="S214" i="3" s="1"/>
  <c r="R215" i="3"/>
  <c r="S215" i="3" s="1"/>
  <c r="R216" i="3"/>
  <c r="S216" i="3" s="1"/>
  <c r="R217" i="3"/>
  <c r="S217" i="3" s="1"/>
  <c r="R218" i="3"/>
  <c r="S218" i="3" s="1"/>
  <c r="R219" i="3"/>
  <c r="S219" i="3" s="1"/>
  <c r="R220" i="3"/>
  <c r="R221" i="3"/>
  <c r="S221" i="3" s="1"/>
  <c r="R222" i="3"/>
  <c r="S222" i="3" s="1"/>
  <c r="R223" i="3"/>
  <c r="S223" i="3" s="1"/>
  <c r="R224" i="3"/>
  <c r="R225" i="3"/>
  <c r="S225" i="3" s="1"/>
  <c r="R226" i="3"/>
  <c r="S226" i="3" s="1"/>
  <c r="R227" i="3"/>
  <c r="S227" i="3" s="1"/>
  <c r="R228" i="3"/>
  <c r="R229" i="3"/>
  <c r="S229" i="3" s="1"/>
  <c r="R230" i="3"/>
  <c r="S230" i="3" s="1"/>
  <c r="R231" i="3"/>
  <c r="S231" i="3" s="1"/>
  <c r="R232" i="3"/>
  <c r="S232" i="3" s="1"/>
  <c r="R233" i="3"/>
  <c r="S233" i="3" s="1"/>
  <c r="R234" i="3"/>
  <c r="S234" i="3" s="1"/>
  <c r="R235" i="3"/>
  <c r="S235" i="3" s="1"/>
  <c r="R236" i="3"/>
  <c r="R237" i="3"/>
  <c r="S237" i="3" s="1"/>
  <c r="R238" i="3"/>
  <c r="S238" i="3" s="1"/>
  <c r="R239" i="3"/>
  <c r="S239" i="3" s="1"/>
  <c r="R240" i="3"/>
  <c r="S240" i="3" s="1"/>
  <c r="R241" i="3"/>
  <c r="S241" i="3" s="1"/>
  <c r="R242" i="3"/>
  <c r="S242" i="3" s="1"/>
  <c r="R243" i="3"/>
  <c r="S243" i="3" s="1"/>
  <c r="R244" i="3"/>
  <c r="R245" i="3"/>
  <c r="S245" i="3" s="1"/>
  <c r="R246" i="3"/>
  <c r="S246" i="3" s="1"/>
  <c r="R247" i="3"/>
  <c r="S247" i="3" s="1"/>
  <c r="R248" i="3"/>
  <c r="S248" i="3" s="1"/>
  <c r="R249" i="3"/>
  <c r="S249" i="3" s="1"/>
  <c r="R250" i="3"/>
  <c r="S250" i="3" s="1"/>
  <c r="R251" i="3"/>
  <c r="S251" i="3" s="1"/>
  <c r="R252" i="3"/>
  <c r="R253" i="3"/>
  <c r="S253" i="3" s="1"/>
  <c r="R254" i="3"/>
  <c r="S254" i="3" s="1"/>
  <c r="R255" i="3"/>
  <c r="S255" i="3" s="1"/>
  <c r="R256" i="3"/>
  <c r="R257" i="3"/>
  <c r="S257" i="3" s="1"/>
  <c r="R258" i="3"/>
  <c r="S258" i="3" s="1"/>
  <c r="R259" i="3"/>
  <c r="S259" i="3" s="1"/>
  <c r="R260" i="3"/>
  <c r="R261" i="3"/>
  <c r="S261" i="3" s="1"/>
  <c r="R262" i="3"/>
  <c r="S262" i="3" s="1"/>
  <c r="R263" i="3"/>
  <c r="S263" i="3" s="1"/>
  <c r="R264" i="3"/>
  <c r="S264" i="3" s="1"/>
  <c r="R265" i="3"/>
  <c r="S265" i="3" s="1"/>
  <c r="R266" i="3"/>
  <c r="S266" i="3" s="1"/>
  <c r="R267" i="3"/>
  <c r="S267" i="3" s="1"/>
  <c r="R268" i="3"/>
  <c r="R269" i="3"/>
  <c r="S269" i="3" s="1"/>
  <c r="R270" i="3"/>
  <c r="S270" i="3" s="1"/>
  <c r="R271" i="3"/>
  <c r="S271" i="3" s="1"/>
  <c r="R272" i="3"/>
  <c r="S272" i="3" s="1"/>
  <c r="R273" i="3"/>
  <c r="S273" i="3" s="1"/>
  <c r="R274" i="3"/>
  <c r="S274" i="3" s="1"/>
  <c r="R275" i="3"/>
  <c r="S275" i="3" s="1"/>
  <c r="R276" i="3"/>
  <c r="R277" i="3"/>
  <c r="S277" i="3" s="1"/>
  <c r="R278" i="3"/>
  <c r="S278" i="3" s="1"/>
  <c r="R279" i="3"/>
  <c r="S279" i="3" s="1"/>
  <c r="R280" i="3"/>
  <c r="S280" i="3" s="1"/>
  <c r="R281" i="3"/>
  <c r="S281" i="3" s="1"/>
  <c r="R282" i="3"/>
  <c r="S282" i="3" s="1"/>
  <c r="R283" i="3"/>
  <c r="S283" i="3" s="1"/>
  <c r="R284" i="3"/>
  <c r="R285" i="3"/>
  <c r="S285" i="3" s="1"/>
  <c r="R286" i="3"/>
  <c r="S286" i="3" s="1"/>
  <c r="R287" i="3"/>
  <c r="S287" i="3" s="1"/>
  <c r="R288" i="3"/>
  <c r="R289" i="3"/>
  <c r="S289" i="3" s="1"/>
  <c r="R290" i="3"/>
  <c r="S290" i="3" s="1"/>
  <c r="R5" i="3"/>
  <c r="D6" i="2"/>
  <c r="S5" i="3" l="1"/>
  <c r="T5" i="3"/>
  <c r="F39" i="5"/>
  <c r="U20" i="5" s="1"/>
  <c r="G7" i="1"/>
  <c r="B24" i="2"/>
  <c r="B20" i="2"/>
  <c r="B16" i="2"/>
  <c r="B12" i="2"/>
  <c r="I86" i="1"/>
  <c r="H86" i="1"/>
  <c r="B86" i="1"/>
  <c r="C86" i="1"/>
  <c r="D86" i="1"/>
  <c r="E86" i="1"/>
  <c r="F86" i="1"/>
  <c r="G86" i="1"/>
  <c r="U5" i="3" l="1"/>
  <c r="X5" i="3"/>
  <c r="Y39" i="5"/>
  <c r="Z8" i="2" s="1"/>
  <c r="Y2" i="1" s="1"/>
  <c r="X39" i="5"/>
  <c r="Y8" i="2" s="1"/>
  <c r="X2" i="1" s="1"/>
  <c r="T39" i="5"/>
  <c r="AD20" i="5" s="1"/>
  <c r="N39" i="5"/>
  <c r="R39" i="5"/>
  <c r="S8" i="2" s="1"/>
  <c r="R2" i="1" s="1"/>
  <c r="H87" i="1" s="1"/>
  <c r="S115" i="1" s="1"/>
  <c r="AD95" i="1" s="1"/>
  <c r="M39" i="5"/>
  <c r="H39" i="5"/>
  <c r="V39" i="5"/>
  <c r="W8" i="2" s="1"/>
  <c r="V2" i="1" s="1"/>
  <c r="Q39" i="5"/>
  <c r="R8" i="2" s="1"/>
  <c r="Q2" i="1" s="1"/>
  <c r="L39" i="5"/>
  <c r="H20" i="5" s="1"/>
  <c r="E39" i="5"/>
  <c r="J20" i="5" s="1"/>
  <c r="Z39" i="5"/>
  <c r="AA8" i="2" s="1"/>
  <c r="Z2" i="1" s="1"/>
  <c r="U39" i="5"/>
  <c r="V8" i="2" s="1"/>
  <c r="U2" i="1" s="1"/>
  <c r="P39" i="5"/>
  <c r="Z29" i="5" s="1"/>
  <c r="J39" i="5"/>
  <c r="D39" i="5"/>
  <c r="U17" i="5" s="1"/>
  <c r="E8" i="2" s="1"/>
  <c r="D2" i="1" s="1"/>
  <c r="B87" i="1" s="1"/>
  <c r="B133" i="1" s="1"/>
  <c r="M161" i="1" s="1"/>
  <c r="I39" i="5"/>
  <c r="J27" i="5" s="1"/>
  <c r="J8" i="2" s="1"/>
  <c r="I2" i="1" s="1"/>
  <c r="B39" i="5"/>
  <c r="W39" i="5"/>
  <c r="X8" i="2" s="1"/>
  <c r="W2" i="1" s="1"/>
  <c r="S39" i="5"/>
  <c r="S21" i="5" s="1"/>
  <c r="O39" i="5"/>
  <c r="Z28" i="5" s="1"/>
  <c r="K39" i="5"/>
  <c r="AF18" i="5" s="1"/>
  <c r="G39" i="5"/>
  <c r="C39" i="5"/>
  <c r="J17" i="5" s="1"/>
  <c r="D8" i="2" s="1"/>
  <c r="C2" i="1" s="1"/>
  <c r="G8" i="2"/>
  <c r="F2" i="1" s="1"/>
  <c r="C87" i="1" s="1"/>
  <c r="N115" i="1" s="1"/>
  <c r="Y94" i="1" s="1"/>
  <c r="U19" i="5"/>
  <c r="E20" i="5" l="1"/>
  <c r="C8" i="2" s="1"/>
  <c r="B2" i="1" s="1"/>
  <c r="Z31" i="5"/>
  <c r="T8" i="2"/>
  <c r="S2" i="1" s="1"/>
  <c r="I87" i="1" s="1"/>
  <c r="I133" i="1" s="1"/>
  <c r="T161" i="1" s="1"/>
  <c r="AF141" i="1" s="1"/>
  <c r="O8" i="5"/>
  <c r="H8" i="2" s="1"/>
  <c r="G2" i="1" s="1"/>
  <c r="Z8" i="5"/>
  <c r="I8" i="2" s="1"/>
  <c r="H2" i="1" s="1"/>
  <c r="D87" i="1" s="1"/>
  <c r="AD96" i="1"/>
  <c r="AD94" i="1"/>
  <c r="AD92" i="1"/>
  <c r="AD93" i="1"/>
  <c r="H133" i="1"/>
  <c r="S161" i="1" s="1"/>
  <c r="AE142" i="1" s="1"/>
  <c r="Z7" i="5"/>
  <c r="AD21" i="5"/>
  <c r="E19" i="5"/>
  <c r="Y96" i="1"/>
  <c r="H19" i="5"/>
  <c r="M8" i="2"/>
  <c r="L2" i="1" s="1"/>
  <c r="G87" i="1" s="1"/>
  <c r="AF19" i="5"/>
  <c r="L8" i="2" s="1"/>
  <c r="K2" i="1" s="1"/>
  <c r="F87" i="1" s="1"/>
  <c r="F133" i="1" s="1"/>
  <c r="Q161" i="1" s="1"/>
  <c r="AC141" i="1" s="1"/>
  <c r="J19" i="5"/>
  <c r="F8" i="2"/>
  <c r="E2" i="1" s="1"/>
  <c r="O8" i="2"/>
  <c r="N2" i="1" s="1"/>
  <c r="B48" i="1" s="1"/>
  <c r="C16" i="2" s="1"/>
  <c r="O29" i="5"/>
  <c r="Q8" i="2"/>
  <c r="P2" i="1" s="1"/>
  <c r="B137" i="1" s="1"/>
  <c r="C24" i="2" s="1"/>
  <c r="N8" i="2"/>
  <c r="M2" i="1" s="1"/>
  <c r="O28" i="5"/>
  <c r="P8" i="2"/>
  <c r="O2" i="1" s="1"/>
  <c r="B91" i="1" s="1"/>
  <c r="C20" i="2" s="1"/>
  <c r="M115" i="1"/>
  <c r="X93" i="1" s="1"/>
  <c r="Y138" i="1"/>
  <c r="Y143" i="1"/>
  <c r="U16" i="5"/>
  <c r="J26" i="5"/>
  <c r="U26" i="5"/>
  <c r="U27" i="5"/>
  <c r="K8" i="2" s="1"/>
  <c r="J2" i="1" s="1"/>
  <c r="E87" i="1" s="1"/>
  <c r="S20" i="5"/>
  <c r="J16" i="5"/>
  <c r="Y95" i="1"/>
  <c r="O7" i="5"/>
  <c r="Y142" i="1"/>
  <c r="Y141" i="1"/>
  <c r="Y92" i="1"/>
  <c r="Y93" i="1"/>
  <c r="C133" i="1"/>
  <c r="N161" i="1" s="1"/>
  <c r="Z140" i="1" s="1"/>
  <c r="Y144" i="1"/>
  <c r="Y139" i="1"/>
  <c r="Y140" i="1"/>
  <c r="AF144" i="1" l="1"/>
  <c r="AF138" i="1"/>
  <c r="AF140" i="1"/>
  <c r="T115" i="1"/>
  <c r="AE93" i="1" s="1"/>
  <c r="AF142" i="1"/>
  <c r="AF139" i="1"/>
  <c r="AF143" i="1"/>
  <c r="O31" i="5"/>
  <c r="U8" i="2"/>
  <c r="T2" i="1" s="1"/>
  <c r="AG27" i="5"/>
  <c r="O30" i="5"/>
  <c r="Z30" i="5" s="1"/>
  <c r="D133" i="1"/>
  <c r="O161" i="1" s="1"/>
  <c r="O115" i="1"/>
  <c r="Z94" i="1" s="1"/>
  <c r="AE143" i="1"/>
  <c r="AE138" i="1"/>
  <c r="AE141" i="1"/>
  <c r="AE139" i="1"/>
  <c r="AE140" i="1"/>
  <c r="AE144" i="1"/>
  <c r="R115" i="1"/>
  <c r="G133" i="1"/>
  <c r="R161" i="1" s="1"/>
  <c r="G8" i="1"/>
  <c r="Z142" i="1"/>
  <c r="Z138" i="1"/>
  <c r="X94" i="1"/>
  <c r="X92" i="1"/>
  <c r="E31" i="5"/>
  <c r="X95" i="1"/>
  <c r="X96" i="1"/>
  <c r="P115" i="1"/>
  <c r="E133" i="1"/>
  <c r="P161" i="1" s="1"/>
  <c r="E30" i="5"/>
  <c r="Z144" i="1"/>
  <c r="Z141" i="1"/>
  <c r="Z143" i="1"/>
  <c r="Z139" i="1"/>
  <c r="AC143" i="1"/>
  <c r="AC140" i="1"/>
  <c r="AC139" i="1"/>
  <c r="AC144" i="1"/>
  <c r="AC138" i="1"/>
  <c r="Q115" i="1"/>
  <c r="AB93" i="1" s="1"/>
  <c r="AC142" i="1"/>
  <c r="AE92" i="1" l="1"/>
  <c r="AE94" i="1"/>
  <c r="AE96" i="1"/>
  <c r="AE95" i="1"/>
  <c r="Z96" i="1"/>
  <c r="Z93" i="1"/>
  <c r="Z92" i="1"/>
  <c r="Z95" i="1"/>
  <c r="AA142" i="1"/>
  <c r="AA143" i="1"/>
  <c r="AA139" i="1"/>
  <c r="AA140" i="1"/>
  <c r="AA138" i="1"/>
  <c r="AA141" i="1"/>
  <c r="AA144" i="1"/>
  <c r="AD143" i="1"/>
  <c r="AD138" i="1"/>
  <c r="AD144" i="1"/>
  <c r="AD142" i="1"/>
  <c r="AD140" i="1"/>
  <c r="AD139" i="1"/>
  <c r="AD141" i="1"/>
  <c r="AC94" i="1"/>
  <c r="AC93" i="1"/>
  <c r="AC95" i="1"/>
  <c r="AC92" i="1"/>
  <c r="AC96" i="1"/>
  <c r="AA93" i="1"/>
  <c r="AA92" i="1"/>
  <c r="AA96" i="1"/>
  <c r="AA95" i="1"/>
  <c r="AA94" i="1"/>
  <c r="AB141" i="1"/>
  <c r="AB142" i="1"/>
  <c r="AB138" i="1"/>
  <c r="AB140" i="1"/>
  <c r="AB143" i="1"/>
  <c r="AB139" i="1"/>
  <c r="AB144" i="1"/>
  <c r="AB96" i="1"/>
  <c r="AB92" i="1"/>
  <c r="AB94" i="1"/>
  <c r="AB95" i="1"/>
  <c r="B8" i="1" l="1"/>
  <c r="B44" i="1" s="1"/>
  <c r="M72" i="1" s="1"/>
  <c r="C8" i="1"/>
  <c r="C44" i="1" s="1"/>
  <c r="N72" i="1" s="1"/>
  <c r="D8" i="1"/>
  <c r="D44" i="1" s="1"/>
  <c r="O72" i="1" s="1"/>
  <c r="E8" i="1"/>
  <c r="E44" i="1" s="1"/>
  <c r="P72" i="1" s="1"/>
  <c r="F8" i="1"/>
  <c r="F44" i="1" s="1"/>
  <c r="Q72" i="1" s="1"/>
  <c r="G44" i="1"/>
  <c r="R72" i="1" s="1"/>
  <c r="H8" i="1"/>
  <c r="H44" i="1" s="1"/>
  <c r="S72" i="1" s="1"/>
  <c r="I8" i="1"/>
  <c r="I44" i="1" s="1"/>
  <c r="T72" i="1" s="1"/>
  <c r="B12" i="1"/>
  <c r="C12" i="2" s="1"/>
  <c r="I7" i="1"/>
  <c r="I43" i="1" s="1"/>
  <c r="H7" i="1"/>
  <c r="H43" i="1" s="1"/>
  <c r="G43" i="1"/>
  <c r="F7" i="1"/>
  <c r="F43" i="1" s="1"/>
  <c r="E7" i="1"/>
  <c r="E43" i="1" s="1"/>
  <c r="D7" i="1"/>
  <c r="D43" i="1" s="1"/>
  <c r="C7" i="1"/>
  <c r="C43" i="1" s="1"/>
  <c r="B7" i="1"/>
  <c r="B43" i="1" s="1"/>
  <c r="AC49" i="1" l="1"/>
  <c r="AC50" i="1"/>
  <c r="AC51" i="1"/>
  <c r="AC52" i="1"/>
  <c r="AC53" i="1"/>
  <c r="AC55" i="1"/>
  <c r="AC54" i="1"/>
  <c r="Y49" i="1"/>
  <c r="Y51" i="1"/>
  <c r="Y53" i="1"/>
  <c r="Y54" i="1"/>
  <c r="Y55" i="1"/>
  <c r="Y50" i="1"/>
  <c r="Y52" i="1"/>
  <c r="AB50" i="1"/>
  <c r="AB51" i="1"/>
  <c r="AB52" i="1"/>
  <c r="AB53" i="1"/>
  <c r="AB54" i="1"/>
  <c r="AB55" i="1"/>
  <c r="AB49" i="1"/>
  <c r="X50" i="1"/>
  <c r="X51" i="1"/>
  <c r="X52" i="1"/>
  <c r="X53" i="1"/>
  <c r="X54" i="1"/>
  <c r="X55" i="1"/>
  <c r="X49" i="1"/>
  <c r="AA50" i="1"/>
  <c r="AA51" i="1"/>
  <c r="AA52" i="1"/>
  <c r="AA53" i="1"/>
  <c r="AA54" i="1"/>
  <c r="AA55" i="1"/>
  <c r="AA49" i="1"/>
  <c r="W50" i="1"/>
  <c r="W51" i="1"/>
  <c r="W52" i="1"/>
  <c r="W53" i="1"/>
  <c r="W54" i="1"/>
  <c r="W55" i="1"/>
  <c r="AD49" i="1"/>
  <c r="AD50" i="1"/>
  <c r="AD51" i="1"/>
  <c r="AD52" i="1"/>
  <c r="AD53" i="1"/>
  <c r="AD54" i="1"/>
  <c r="AD55" i="1"/>
  <c r="Z49" i="1"/>
  <c r="Z50" i="1"/>
  <c r="Z51" i="1"/>
  <c r="Z52" i="1"/>
  <c r="Z53" i="1"/>
  <c r="Z54" i="1"/>
  <c r="Z55" i="1"/>
  <c r="W49" i="1"/>
  <c r="M29" i="1"/>
  <c r="N29" i="1" l="1"/>
  <c r="O29" i="1"/>
  <c r="P29" i="1"/>
  <c r="Q29" i="1"/>
  <c r="R29" i="1"/>
  <c r="S29" i="1"/>
  <c r="T29" i="1"/>
  <c r="Y14" i="1" l="1"/>
  <c r="AA14" i="1"/>
  <c r="AC15" i="1"/>
  <c r="V15" i="1"/>
  <c r="W14" i="1"/>
  <c r="X16" i="1"/>
  <c r="Z16" i="1"/>
  <c r="AB14" i="1"/>
  <c r="W13" i="1" l="1"/>
  <c r="AA13" i="1"/>
  <c r="X14" i="1"/>
  <c r="AC16" i="1"/>
  <c r="AB13" i="1"/>
  <c r="AB16" i="1"/>
  <c r="AB15" i="1"/>
  <c r="X15" i="1"/>
  <c r="X13" i="1"/>
  <c r="Y16" i="1"/>
  <c r="AC14" i="1"/>
  <c r="V13" i="1"/>
  <c r="Z15" i="1"/>
  <c r="V14" i="1"/>
  <c r="AC13" i="1"/>
  <c r="Y13" i="1"/>
  <c r="V16" i="1"/>
  <c r="Y15" i="1"/>
  <c r="Z14" i="1"/>
  <c r="Z13" i="1"/>
  <c r="AA16" i="1"/>
  <c r="W16" i="1"/>
  <c r="AA15" i="1"/>
  <c r="W15" i="1"/>
  <c r="X22" i="1" l="1"/>
  <c r="Y22" i="1" s="1"/>
  <c r="Z22" i="1" s="1"/>
  <c r="X24" i="1"/>
  <c r="Y24" i="1" s="1"/>
  <c r="Z24" i="1" s="1"/>
  <c r="X23" i="1"/>
  <c r="Y23" i="1" s="1"/>
  <c r="Z23" i="1" s="1"/>
  <c r="X21" i="1"/>
  <c r="Y21" i="1" s="1"/>
  <c r="Z21" i="1" s="1"/>
  <c r="AB22" i="1" l="1"/>
  <c r="B11" i="1" s="1"/>
  <c r="C11" i="2" s="1"/>
  <c r="Q28" i="5" s="1"/>
  <c r="J44" i="1" l="1"/>
  <c r="J87" i="1" s="1"/>
  <c r="J133" i="1" s="1"/>
  <c r="U72" i="1" l="1"/>
  <c r="AE51" i="1" l="1"/>
  <c r="AG51" i="1" s="1"/>
  <c r="AE55" i="1"/>
  <c r="AG55" i="1" s="1"/>
  <c r="AE49" i="1"/>
  <c r="AG49" i="1" s="1"/>
  <c r="AE52" i="1"/>
  <c r="AG52" i="1" s="1"/>
  <c r="AE50" i="1"/>
  <c r="AG50" i="1" s="1"/>
  <c r="AE54" i="1"/>
  <c r="AG54" i="1" s="1"/>
  <c r="AE53" i="1"/>
  <c r="AG53" i="1" s="1"/>
  <c r="U115" i="1"/>
  <c r="U161" i="1"/>
  <c r="AH50" i="1" l="1"/>
  <c r="AI50" i="1" s="1"/>
  <c r="AH52" i="1"/>
  <c r="AI52" i="1" s="1"/>
  <c r="AH53" i="1"/>
  <c r="AI53" i="1" s="1"/>
  <c r="AH49" i="1"/>
  <c r="AI49" i="1" s="1"/>
  <c r="AH55" i="1"/>
  <c r="AI55" i="1" s="1"/>
  <c r="AH54" i="1"/>
  <c r="AI54" i="1" s="1"/>
  <c r="AH51" i="1"/>
  <c r="AI51" i="1" s="1"/>
  <c r="AG140" i="1"/>
  <c r="AG144" i="1"/>
  <c r="AG143" i="1"/>
  <c r="AG142" i="1"/>
  <c r="AG141" i="1"/>
  <c r="AG138" i="1"/>
  <c r="AG139" i="1"/>
  <c r="AF94" i="1"/>
  <c r="AF95" i="1"/>
  <c r="AF96" i="1"/>
  <c r="AF92" i="1"/>
  <c r="AF93" i="1"/>
  <c r="AK50" i="1" l="1"/>
  <c r="B47" i="1" s="1"/>
  <c r="C15" i="2" s="1"/>
  <c r="Q29" i="5" s="1"/>
  <c r="Q30" i="5" s="1"/>
  <c r="Q31" i="5" l="1"/>
  <c r="K87" i="1"/>
  <c r="V115" i="1" s="1"/>
  <c r="K133" i="1" l="1"/>
  <c r="V161" i="1" s="1"/>
  <c r="AH141" i="1" s="1"/>
  <c r="AG92" i="1"/>
  <c r="AG96" i="1"/>
  <c r="AG94" i="1"/>
  <c r="AG95" i="1"/>
  <c r="AG93" i="1"/>
  <c r="AH94" i="1" l="1"/>
  <c r="AI94" i="1" s="1"/>
  <c r="AJ94" i="1" s="1"/>
  <c r="AH96" i="1"/>
  <c r="AI96" i="1" s="1"/>
  <c r="AJ96" i="1" s="1"/>
  <c r="AH92" i="1"/>
  <c r="AI92" i="1" s="1"/>
  <c r="AJ92" i="1" s="1"/>
  <c r="AH93" i="1"/>
  <c r="AI93" i="1" s="1"/>
  <c r="AJ93" i="1" s="1"/>
  <c r="AH95" i="1"/>
  <c r="AI95" i="1" s="1"/>
  <c r="AJ95" i="1" s="1"/>
  <c r="AJ141" i="1"/>
  <c r="AK141" i="1" s="1"/>
  <c r="AL141" i="1" s="1"/>
  <c r="AH142" i="1"/>
  <c r="AH138" i="1"/>
  <c r="AH140" i="1"/>
  <c r="AH139" i="1"/>
  <c r="AH143" i="1"/>
  <c r="AH144" i="1"/>
  <c r="AL93" i="1" l="1"/>
  <c r="B90" i="1" s="1"/>
  <c r="C19" i="2" s="1"/>
  <c r="AB28" i="5" s="1"/>
  <c r="AJ140" i="1"/>
  <c r="AK140" i="1" s="1"/>
  <c r="AL140" i="1" s="1"/>
  <c r="AJ144" i="1"/>
  <c r="AK144" i="1" s="1"/>
  <c r="AL144" i="1" s="1"/>
  <c r="AJ139" i="1"/>
  <c r="AK139" i="1" s="1"/>
  <c r="AL139" i="1" s="1"/>
  <c r="AJ138" i="1"/>
  <c r="AK138" i="1" s="1"/>
  <c r="AL138" i="1" s="1"/>
  <c r="AJ143" i="1"/>
  <c r="AK143" i="1" s="1"/>
  <c r="AL143" i="1" s="1"/>
  <c r="AJ142" i="1"/>
  <c r="AK142" i="1" s="1"/>
  <c r="AL142" i="1" s="1"/>
  <c r="L133" i="1" l="1"/>
  <c r="AN139" i="1"/>
  <c r="B136" i="1" s="1"/>
  <c r="C23" i="2" s="1"/>
  <c r="AB29" i="5" s="1"/>
  <c r="AG26" i="5" s="1"/>
  <c r="AB30" i="5" l="1"/>
  <c r="AB31" i="5"/>
</calcChain>
</file>

<file path=xl/sharedStrings.xml><?xml version="1.0" encoding="utf-8"?>
<sst xmlns="http://schemas.openxmlformats.org/spreadsheetml/2006/main" count="326" uniqueCount="103">
  <si>
    <t>Layer</t>
  </si>
  <si>
    <t>Input</t>
  </si>
  <si>
    <t>WEIGHT</t>
  </si>
  <si>
    <t>Bias</t>
  </si>
  <si>
    <t>Output</t>
  </si>
  <si>
    <t>Sum</t>
  </si>
  <si>
    <t>Activated Node output * weight</t>
  </si>
  <si>
    <t>Node 2</t>
  </si>
  <si>
    <t>Multiply</t>
  </si>
  <si>
    <t>Reverse</t>
  </si>
  <si>
    <t>sigmoid</t>
  </si>
  <si>
    <t>output</t>
  </si>
  <si>
    <t>offset</t>
  </si>
  <si>
    <t>input</t>
  </si>
  <si>
    <t>gain</t>
  </si>
  <si>
    <t>Result</t>
  </si>
  <si>
    <t>Guideline</t>
  </si>
  <si>
    <t>2. Output Layer weight</t>
  </si>
  <si>
    <t>1. Hidden Layer weight</t>
  </si>
  <si>
    <t>3. Bias</t>
  </si>
  <si>
    <t>4. Offset/gain</t>
  </si>
  <si>
    <t>Combined Feed to OX-1201</t>
  </si>
  <si>
    <t>Level OX-1201</t>
  </si>
  <si>
    <t>Level OX-1202</t>
  </si>
  <si>
    <t>Temp OX-1201</t>
  </si>
  <si>
    <t>Temp OX-1202</t>
  </si>
  <si>
    <t>O2 Excess OX-1201</t>
  </si>
  <si>
    <t>O2 Excess OX-1202</t>
  </si>
  <si>
    <t>Air Feed OX-1201</t>
  </si>
  <si>
    <t>Air Feed OX-1202</t>
  </si>
  <si>
    <t>Feed to PFC</t>
  </si>
  <si>
    <t>Cumene in combined feed</t>
  </si>
  <si>
    <t>CHP out OX-1201</t>
  </si>
  <si>
    <t>DMPC out OX-1201</t>
  </si>
  <si>
    <t>CHP out OX-1202</t>
  </si>
  <si>
    <t>DMPC out OX-1202</t>
  </si>
  <si>
    <t>Level OX-1201 Last Hour</t>
  </si>
  <si>
    <t>Level OX-1202 Last Hour</t>
  </si>
  <si>
    <t>Flow to OX-1202/OX-1201 outlet flow</t>
  </si>
  <si>
    <t>OX-1202 outlet flow</t>
  </si>
  <si>
    <t>Cumene conversion 1</t>
  </si>
  <si>
    <t>Cumene conversion 2</t>
  </si>
  <si>
    <t>CHP selectivity 1</t>
  </si>
  <si>
    <t>CHP selectivity 2</t>
  </si>
  <si>
    <t>Overall Cumene Conversion</t>
  </si>
  <si>
    <t>Overall CHP Selectivity</t>
  </si>
  <si>
    <t>Validate</t>
  </si>
  <si>
    <t>CHP1</t>
  </si>
  <si>
    <t>L1</t>
  </si>
  <si>
    <t>CHP</t>
  </si>
  <si>
    <t>DMPC1</t>
  </si>
  <si>
    <t>CHP2</t>
  </si>
  <si>
    <t>DMPC2</t>
  </si>
  <si>
    <t>Prediction</t>
  </si>
  <si>
    <t>Recent case</t>
  </si>
  <si>
    <t>Oxidizer Advance Analytics</t>
  </si>
  <si>
    <t>Ex. O2</t>
  </si>
  <si>
    <t>Level</t>
  </si>
  <si>
    <t>Fresh Cumene</t>
  </si>
  <si>
    <t>Cumene in Feed</t>
  </si>
  <si>
    <t>Temperature</t>
  </si>
  <si>
    <t>Air flow to OX-1201</t>
  </si>
  <si>
    <t>AI-PPM</t>
  </si>
  <si>
    <t>%wt</t>
  </si>
  <si>
    <t>Total Air Flow</t>
  </si>
  <si>
    <t>DMPC</t>
  </si>
  <si>
    <t>Conv.</t>
  </si>
  <si>
    <t>Sel.</t>
  </si>
  <si>
    <t>From data base</t>
  </si>
  <si>
    <t>OX-1201  Outlet flow</t>
  </si>
  <si>
    <t>OX-1202 Outlet flow</t>
  </si>
  <si>
    <t>Lab</t>
  </si>
  <si>
    <t>%</t>
  </si>
  <si>
    <t>\\piserver\PHN1-LI121003.PV</t>
  </si>
  <si>
    <t>\\piserver\PHN1-LI121403.PV</t>
  </si>
  <si>
    <t>\\piserver\PHN1-TI121001.PV</t>
  </si>
  <si>
    <t>\\piserver\PHN1-TI121401.PV</t>
  </si>
  <si>
    <t>\\piserver\PHN1-AI121001.PV</t>
  </si>
  <si>
    <t>\\piserver\PHN1-AI121401.PV</t>
  </si>
  <si>
    <t>\\piserver\PHN1-FIC120901.PV</t>
  </si>
  <si>
    <t>\\piserver\PHN1-FIC121301.PV</t>
  </si>
  <si>
    <t>\\piserver\PHN1-FIC130401.PV</t>
  </si>
  <si>
    <t>\\piserver\LM-26-SN1204_4</t>
  </si>
  <si>
    <t>\\piserver\LM-26-SN1205_1</t>
  </si>
  <si>
    <t>\\piserver\LM-26-SN1205_2</t>
  </si>
  <si>
    <t>\\piserver\LM-26-SN1206_1</t>
  </si>
  <si>
    <t>\\piserver\LM-26-SN1206_2</t>
  </si>
  <si>
    <t>\\piserver\PHN1-FI120601.PV</t>
  </si>
  <si>
    <t>Case</t>
  </si>
  <si>
    <t xml:space="preserve">Area (m2) = </t>
  </si>
  <si>
    <t>ppmnumbawan1</t>
  </si>
  <si>
    <t>LOOKUP CASE</t>
  </si>
  <si>
    <t>Density(kg/m3)</t>
  </si>
  <si>
    <t>Diameter (m) =</t>
  </si>
  <si>
    <t>M.W.</t>
  </si>
  <si>
    <t>Height (m) =</t>
  </si>
  <si>
    <t xml:space="preserve">Predicted </t>
  </si>
  <si>
    <t>Actual</t>
  </si>
  <si>
    <t>Overall</t>
  </si>
  <si>
    <t>PHN1-AI121401.PV</t>
  </si>
  <si>
    <t>I4-PIC4617.PV</t>
  </si>
  <si>
    <t>Date and Time</t>
  </si>
  <si>
    <t>DD/MM/YYYY  HH:MM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</si>
</sst>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87" formatCode="[$-1010000]d/m/yyyy\ h:mm\ &quot;น.&quot;;@"/>
    <numFmt numFmtId="188" formatCode="dd\-mmm\-yy\ hh:mm:ss"/>
  </numFmts>
  <fonts count="9" x14ac:knownFonts="1">
    <font>
      <sz val="11"/>
      <color theme="1"/>
      <name val="Tahoma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28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1"/>
      <color rgb="FF0070C0"/>
      <name val="Arial"/>
      <family val="2"/>
    </font>
    <font>
      <sz val="11"/>
      <color theme="0"/>
      <name val="Arial"/>
      <family val="2"/>
    </font>
    <font>
      <b/>
      <sz val="14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gradientFill degree="90">
        <stop position="0">
          <color theme="4"/>
        </stop>
        <stop position="1">
          <color rgb="FF0070C0"/>
        </stop>
      </gradient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2" tint="-0.25098422193060094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4"/>
        </stop>
      </gradientFill>
    </fill>
  </fills>
  <borders count="2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0" xfId="0" applyFill="1"/>
    <xf numFmtId="0" fontId="1" fillId="0" borderId="0" xfId="0" applyFont="1"/>
    <xf numFmtId="0" fontId="2" fillId="0" borderId="0" xfId="0" applyFont="1"/>
    <xf numFmtId="0" fontId="2" fillId="0" borderId="0" xfId="0" applyNumberFormat="1" applyFont="1" applyFill="1"/>
    <xf numFmtId="0" fontId="2" fillId="0" borderId="0" xfId="0" applyFont="1" applyFill="1"/>
    <xf numFmtId="0" fontId="2" fillId="0" borderId="0" xfId="0" applyFont="1" applyFill="1" applyAlignment="1">
      <alignment horizontal="center"/>
    </xf>
    <xf numFmtId="0" fontId="2" fillId="2" borderId="0" xfId="0" applyFont="1" applyFill="1"/>
    <xf numFmtId="0" fontId="2" fillId="0" borderId="0" xfId="0" applyFont="1" applyFill="1" applyAlignment="1">
      <alignment horizontal="right"/>
    </xf>
    <xf numFmtId="0" fontId="2" fillId="3" borderId="0" xfId="0" applyFont="1" applyFill="1"/>
    <xf numFmtId="0" fontId="1" fillId="5" borderId="7" xfId="0" applyFont="1" applyFill="1" applyBorder="1"/>
    <xf numFmtId="0" fontId="1" fillId="5" borderId="8" xfId="0" applyFont="1" applyFill="1" applyBorder="1"/>
    <xf numFmtId="0" fontId="1" fillId="5" borderId="9" xfId="0" applyFont="1" applyFill="1" applyBorder="1"/>
    <xf numFmtId="0" fontId="1" fillId="5" borderId="10" xfId="0" applyFont="1" applyFill="1" applyBorder="1"/>
    <xf numFmtId="0" fontId="1" fillId="5" borderId="0" xfId="0" applyFont="1" applyFill="1" applyBorder="1"/>
    <xf numFmtId="0" fontId="1" fillId="5" borderId="11" xfId="0" applyFont="1" applyFill="1" applyBorder="1"/>
    <xf numFmtId="0" fontId="4" fillId="5" borderId="0" xfId="0" applyFont="1" applyFill="1" applyBorder="1" applyAlignment="1">
      <alignment horizontal="center"/>
    </xf>
    <xf numFmtId="0" fontId="1" fillId="5" borderId="17" xfId="0" applyFont="1" applyFill="1" applyBorder="1"/>
    <xf numFmtId="0" fontId="1" fillId="5" borderId="18" xfId="0" applyFont="1" applyFill="1" applyBorder="1"/>
    <xf numFmtId="0" fontId="1" fillId="5" borderId="19" xfId="0" applyFont="1" applyFill="1" applyBorder="1"/>
    <xf numFmtId="0" fontId="1" fillId="0" borderId="7" xfId="0" applyFont="1" applyBorder="1"/>
    <xf numFmtId="0" fontId="1" fillId="0" borderId="8" xfId="0" applyFont="1" applyBorder="1"/>
    <xf numFmtId="0" fontId="1" fillId="0" borderId="10" xfId="0" applyFont="1" applyBorder="1"/>
    <xf numFmtId="0" fontId="1" fillId="0" borderId="0" xfId="0" applyFont="1" applyBorder="1"/>
    <xf numFmtId="4" fontId="1" fillId="5" borderId="0" xfId="0" applyNumberFormat="1" applyFont="1" applyFill="1" applyBorder="1"/>
    <xf numFmtId="4" fontId="1" fillId="0" borderId="0" xfId="0" applyNumberFormat="1" applyFont="1"/>
    <xf numFmtId="4" fontId="1" fillId="5" borderId="0" xfId="0" applyNumberFormat="1" applyFont="1" applyFill="1"/>
    <xf numFmtId="4" fontId="4" fillId="5" borderId="0" xfId="0" applyNumberFormat="1" applyFont="1" applyFill="1" applyBorder="1" applyAlignment="1">
      <alignment horizontal="center"/>
    </xf>
    <xf numFmtId="4" fontId="1" fillId="5" borderId="0" xfId="0" applyNumberFormat="1" applyFont="1" applyFill="1" applyBorder="1" applyAlignment="1">
      <alignment horizontal="center"/>
    </xf>
    <xf numFmtId="4" fontId="1" fillId="5" borderId="12" xfId="0" applyNumberFormat="1" applyFont="1" applyFill="1" applyBorder="1" applyAlignment="1">
      <alignment horizontal="center"/>
    </xf>
    <xf numFmtId="4" fontId="4" fillId="6" borderId="13" xfId="0" applyNumberFormat="1" applyFont="1" applyFill="1" applyBorder="1" applyAlignment="1">
      <alignment horizontal="center"/>
    </xf>
    <xf numFmtId="4" fontId="4" fillId="5" borderId="14" xfId="0" applyNumberFormat="1" applyFont="1" applyFill="1" applyBorder="1" applyAlignment="1">
      <alignment horizontal="center"/>
    </xf>
    <xf numFmtId="4" fontId="4" fillId="5" borderId="12" xfId="0" applyNumberFormat="1" applyFont="1" applyFill="1" applyBorder="1" applyAlignment="1">
      <alignment horizontal="center"/>
    </xf>
    <xf numFmtId="4" fontId="4" fillId="5" borderId="0" xfId="0" applyNumberFormat="1" applyFont="1" applyFill="1" applyBorder="1" applyAlignment="1">
      <alignment horizontal="left"/>
    </xf>
    <xf numFmtId="0" fontId="1" fillId="5" borderId="0" xfId="0" applyFont="1" applyFill="1" applyBorder="1" applyAlignment="1">
      <alignment horizontal="center"/>
    </xf>
    <xf numFmtId="0" fontId="1" fillId="5" borderId="18" xfId="0" applyFont="1" applyFill="1" applyBorder="1" applyAlignment="1">
      <alignment horizontal="center"/>
    </xf>
    <xf numFmtId="0" fontId="1" fillId="0" borderId="8" xfId="0" applyFont="1" applyBorder="1" applyAlignment="1">
      <alignment horizontal="center"/>
    </xf>
    <xf numFmtId="4" fontId="6" fillId="8" borderId="13" xfId="0" applyNumberFormat="1" applyFont="1" applyFill="1" applyBorder="1" applyAlignment="1">
      <alignment horizontal="center"/>
    </xf>
    <xf numFmtId="0" fontId="1" fillId="0" borderId="10" xfId="0" applyFont="1" applyFill="1" applyBorder="1"/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/>
    <xf numFmtId="0" fontId="1" fillId="0" borderId="7" xfId="0" applyFont="1" applyFill="1" applyBorder="1"/>
    <xf numFmtId="0" fontId="1" fillId="0" borderId="8" xfId="0" applyFont="1" applyFill="1" applyBorder="1"/>
    <xf numFmtId="0" fontId="1" fillId="0" borderId="9" xfId="0" applyFont="1" applyFill="1" applyBorder="1"/>
    <xf numFmtId="0" fontId="2" fillId="0" borderId="10" xfId="0" applyFont="1" applyFill="1" applyBorder="1"/>
    <xf numFmtId="0" fontId="2" fillId="0" borderId="0" xfId="0" applyFont="1" applyFill="1" applyBorder="1"/>
    <xf numFmtId="0" fontId="2" fillId="0" borderId="11" xfId="0" applyFont="1" applyFill="1" applyBorder="1"/>
    <xf numFmtId="0" fontId="2" fillId="0" borderId="17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1" fillId="5" borderId="0" xfId="0" applyFont="1" applyFill="1" applyBorder="1" applyAlignment="1">
      <alignment horizontal="right"/>
    </xf>
    <xf numFmtId="0" fontId="1" fillId="0" borderId="0" xfId="0" quotePrefix="1" applyFont="1"/>
    <xf numFmtId="0" fontId="1" fillId="9" borderId="0" xfId="0" quotePrefix="1" applyFont="1" applyFill="1"/>
    <xf numFmtId="0" fontId="7" fillId="5" borderId="0" xfId="0" applyFont="1" applyFill="1" applyBorder="1" applyAlignment="1">
      <alignment horizontal="center"/>
    </xf>
    <xf numFmtId="4" fontId="1" fillId="5" borderId="20" xfId="0" applyNumberFormat="1" applyFont="1" applyFill="1" applyBorder="1"/>
    <xf numFmtId="4" fontId="1" fillId="5" borderId="21" xfId="0" applyNumberFormat="1" applyFont="1" applyFill="1" applyBorder="1"/>
    <xf numFmtId="4" fontId="1" fillId="5" borderId="22" xfId="0" applyNumberFormat="1" applyFont="1" applyFill="1" applyBorder="1"/>
    <xf numFmtId="0" fontId="1" fillId="5" borderId="23" xfId="0" applyFont="1" applyFill="1" applyBorder="1"/>
    <xf numFmtId="4" fontId="1" fillId="5" borderId="14" xfId="0" applyNumberFormat="1" applyFont="1" applyFill="1" applyBorder="1"/>
    <xf numFmtId="0" fontId="1" fillId="5" borderId="12" xfId="0" applyFont="1" applyFill="1" applyBorder="1"/>
    <xf numFmtId="4" fontId="1" fillId="2" borderId="0" xfId="0" applyNumberFormat="1" applyFont="1" applyFill="1"/>
    <xf numFmtId="4" fontId="1" fillId="0" borderId="0" xfId="0" applyNumberFormat="1" applyFont="1" applyFill="1"/>
    <xf numFmtId="14" fontId="0" fillId="0" borderId="0" xfId="0" applyNumberFormat="1"/>
    <xf numFmtId="187" fontId="0" fillId="0" borderId="0" xfId="0" applyNumberFormat="1"/>
    <xf numFmtId="0" fontId="0" fillId="0" borderId="0" xfId="0" applyNumberFormat="1"/>
    <xf numFmtId="0" fontId="0" fillId="0" borderId="0" xfId="0" quotePrefix="1"/>
    <xf numFmtId="188" fontId="0" fillId="0" borderId="0" xfId="0" applyNumberFormat="1"/>
    <xf numFmtId="4" fontId="1" fillId="7" borderId="15" xfId="0" applyNumberFormat="1" applyFont="1" applyFill="1" applyBorder="1" applyAlignment="1">
      <alignment horizontal="center"/>
    </xf>
    <xf numFmtId="4" fontId="1" fillId="7" borderId="16" xfId="0" applyNumberFormat="1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4" fontId="5" fillId="7" borderId="15" xfId="0" applyNumberFormat="1" applyFont="1" applyFill="1" applyBorder="1" applyAlignment="1">
      <alignment horizontal="center"/>
    </xf>
    <xf numFmtId="4" fontId="5" fillId="7" borderId="16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5" borderId="13" xfId="0" applyFont="1" applyFill="1" applyBorder="1" applyAlignment="1">
      <alignment horizontal="center"/>
    </xf>
    <xf numFmtId="0" fontId="1" fillId="5" borderId="0" xfId="0" applyFont="1" applyFill="1" applyBorder="1" applyAlignment="1">
      <alignment horizontal="center"/>
    </xf>
    <xf numFmtId="0" fontId="1" fillId="5" borderId="0" xfId="0" applyFont="1" applyFill="1"/>
    <xf numFmtId="0" fontId="8" fillId="5" borderId="0" xfId="0" applyFont="1" applyFill="1" applyBorder="1" applyAlignment="1">
      <alignment horizontal="center"/>
    </xf>
    <xf numFmtId="4" fontId="1" fillId="5" borderId="13" xfId="0" applyNumberFormat="1" applyFont="1" applyFill="1" applyBorder="1" applyAlignment="1">
      <alignment horizontal="center"/>
    </xf>
    <xf numFmtId="188" fontId="0" fillId="0" borderId="0" xfId="0" applyNumberFormat="1" applyAlignment="1">
      <alignment horizontal="center"/>
    </xf>
    <xf numFmtId="4" fontId="5" fillId="10" borderId="15" xfId="0" applyNumberFormat="1" applyFont="1" applyFill="1" applyBorder="1" applyAlignment="1">
      <alignment horizontal="center"/>
    </xf>
    <xf numFmtId="4" fontId="5" fillId="10" borderId="16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604344</xdr:colOff>
      <xdr:row>21</xdr:row>
      <xdr:rowOff>133104</xdr:rowOff>
    </xdr:from>
    <xdr:to>
      <xdr:col>16</xdr:col>
      <xdr:colOff>608468</xdr:colOff>
      <xdr:row>26</xdr:row>
      <xdr:rowOff>13139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F1B7D8B6-9C9B-4F2D-A4E7-C96B979C6C43}"/>
            </a:ext>
          </a:extLst>
        </xdr:cNvPr>
        <xdr:cNvCxnSpPr/>
      </xdr:nvCxnSpPr>
      <xdr:spPr>
        <a:xfrm flipH="1">
          <a:off x="11729544" y="4152654"/>
          <a:ext cx="4124" cy="832535"/>
        </a:xfrm>
        <a:prstGeom prst="straightConnector1">
          <a:avLst/>
        </a:prstGeom>
        <a:ln>
          <a:prstDash val="dash"/>
          <a:headEnd type="none" w="med" len="med"/>
          <a:tailEnd type="none" w="med" len="med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404230</xdr:colOff>
      <xdr:row>23</xdr:row>
      <xdr:rowOff>4648</xdr:rowOff>
    </xdr:from>
    <xdr:to>
      <xdr:col>17</xdr:col>
      <xdr:colOff>204439</xdr:colOff>
      <xdr:row>25</xdr:row>
      <xdr:rowOff>41818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D48F112D-150B-4046-8499-B2A4236231CE}"/>
            </a:ext>
          </a:extLst>
        </xdr:cNvPr>
        <xdr:cNvSpPr/>
      </xdr:nvSpPr>
      <xdr:spPr>
        <a:xfrm>
          <a:off x="11529430" y="4405198"/>
          <a:ext cx="495534" cy="418170"/>
        </a:xfrm>
        <a:prstGeom prst="ellipse">
          <a:avLst/>
        </a:prstGeom>
        <a:ln>
          <a:solidFill>
            <a:schemeClr val="tx1"/>
          </a:solidFill>
        </a:ln>
        <a:effectLst>
          <a:glow rad="101600">
            <a:schemeClr val="accent4">
              <a:satMod val="175000"/>
              <a:alpha val="40000"/>
            </a:schemeClr>
          </a:glo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15040</xdr:colOff>
      <xdr:row>14</xdr:row>
      <xdr:rowOff>13607</xdr:rowOff>
    </xdr:from>
    <xdr:to>
      <xdr:col>14</xdr:col>
      <xdr:colOff>598714</xdr:colOff>
      <xdr:row>23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6F00D934-F302-40B9-8DD0-F859696C0D3C}"/>
            </a:ext>
          </a:extLst>
        </xdr:cNvPr>
        <xdr:cNvSpPr/>
      </xdr:nvSpPr>
      <xdr:spPr>
        <a:xfrm>
          <a:off x="7859158" y="2703019"/>
          <a:ext cx="2667968" cy="1700893"/>
        </a:xfrm>
        <a:prstGeom prst="rect">
          <a:avLst/>
        </a:prstGeom>
        <a:gradFill flip="none" rotWithShape="1">
          <a:gsLst>
            <a:gs pos="0">
              <a:schemeClr val="bg1">
                <a:lumMod val="75000"/>
                <a:shade val="30000"/>
                <a:satMod val="115000"/>
              </a:schemeClr>
            </a:gs>
            <a:gs pos="50000">
              <a:schemeClr val="bg1">
                <a:lumMod val="75000"/>
                <a:shade val="67500"/>
                <a:satMod val="115000"/>
              </a:schemeClr>
            </a:gs>
            <a:gs pos="100000">
              <a:schemeClr val="bg1">
                <a:lumMod val="75000"/>
                <a:shade val="100000"/>
                <a:satMod val="115000"/>
              </a:schemeClr>
            </a:gs>
          </a:gsLst>
          <a:lin ang="16200000" scaled="1"/>
          <a:tileRect/>
        </a:gra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30080</xdr:colOff>
      <xdr:row>12</xdr:row>
      <xdr:rowOff>5443</xdr:rowOff>
    </xdr:from>
    <xdr:to>
      <xdr:col>14</xdr:col>
      <xdr:colOff>582386</xdr:colOff>
      <xdr:row>14</xdr:row>
      <xdr:rowOff>6661</xdr:rowOff>
    </xdr:to>
    <xdr:sp macro="" textlink="">
      <xdr:nvSpPr>
        <xdr:cNvPr id="8" name="Isosceles Triangle 7">
          <a:extLst>
            <a:ext uri="{FF2B5EF4-FFF2-40B4-BE49-F238E27FC236}">
              <a16:creationId xmlns:a16="http://schemas.microsoft.com/office/drawing/2014/main" id="{F70EAD9B-9E9A-455C-8325-3D05153C8001}"/>
            </a:ext>
          </a:extLst>
        </xdr:cNvPr>
        <xdr:cNvSpPr/>
      </xdr:nvSpPr>
      <xdr:spPr>
        <a:xfrm>
          <a:off x="7678655" y="2329543"/>
          <a:ext cx="2638281" cy="363168"/>
        </a:xfrm>
        <a:prstGeom prst="triangle">
          <a:avLst/>
        </a:prstGeom>
        <a:gradFill flip="none" rotWithShape="1">
          <a:gsLst>
            <a:gs pos="0">
              <a:schemeClr val="accent3">
                <a:shade val="30000"/>
                <a:satMod val="115000"/>
              </a:schemeClr>
            </a:gs>
            <a:gs pos="50000">
              <a:schemeClr val="accent3">
                <a:shade val="67500"/>
                <a:satMod val="115000"/>
              </a:schemeClr>
            </a:gs>
            <a:gs pos="100000">
              <a:schemeClr val="accent3">
                <a:shade val="100000"/>
                <a:satMod val="115000"/>
              </a:schemeClr>
            </a:gs>
          </a:gsLst>
          <a:lin ang="5400000" scaled="1"/>
          <a:tileRect/>
        </a:gradFill>
        <a:ln>
          <a:solidFill>
            <a:schemeClr val="tx1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15638</xdr:colOff>
      <xdr:row>16</xdr:row>
      <xdr:rowOff>0</xdr:rowOff>
    </xdr:from>
    <xdr:to>
      <xdr:col>14</xdr:col>
      <xdr:colOff>599378</xdr:colOff>
      <xdr:row>22</xdr:row>
      <xdr:rowOff>188429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8749ECF5-2E25-4DC7-B86D-A196887C580B}"/>
            </a:ext>
          </a:extLst>
        </xdr:cNvPr>
        <xdr:cNvSpPr/>
      </xdr:nvSpPr>
      <xdr:spPr>
        <a:xfrm>
          <a:off x="7859756" y="3070412"/>
          <a:ext cx="2668034" cy="133142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16328</xdr:colOff>
      <xdr:row>22</xdr:row>
      <xdr:rowOff>25065</xdr:rowOff>
    </xdr:from>
    <xdr:to>
      <xdr:col>14</xdr:col>
      <xdr:colOff>596565</xdr:colOff>
      <xdr:row>22</xdr:row>
      <xdr:rowOff>80210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FF17678B-30FF-4D3C-AE94-730608F07C64}"/>
            </a:ext>
          </a:extLst>
        </xdr:cNvPr>
        <xdr:cNvSpPr/>
      </xdr:nvSpPr>
      <xdr:spPr>
        <a:xfrm>
          <a:off x="7664903" y="4235115"/>
          <a:ext cx="2666212" cy="55145"/>
        </a:xfrm>
        <a:prstGeom prst="rect">
          <a:avLst/>
        </a:prstGeom>
        <a:ln>
          <a:solidFill>
            <a:schemeClr val="tx1"/>
          </a:solidFill>
        </a:ln>
        <a:effectLst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85700</xdr:colOff>
      <xdr:row>21</xdr:row>
      <xdr:rowOff>132554</xdr:rowOff>
    </xdr:from>
    <xdr:to>
      <xdr:col>14</xdr:col>
      <xdr:colOff>518316</xdr:colOff>
      <xdr:row>22</xdr:row>
      <xdr:rowOff>26757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E4079564-4FF1-412C-A0FF-1C82676BDCCB}"/>
            </a:ext>
          </a:extLst>
        </xdr:cNvPr>
        <xdr:cNvGrpSpPr/>
      </xdr:nvGrpSpPr>
      <xdr:grpSpPr>
        <a:xfrm>
          <a:off x="8318021" y="4173875"/>
          <a:ext cx="2677795" cy="84703"/>
          <a:chOff x="8043771" y="4736751"/>
          <a:chExt cx="2259806" cy="8470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1F7B69E2-0954-478B-8CA5-CD7D5CAF0F61}"/>
              </a:ext>
            </a:extLst>
          </xdr:cNvPr>
          <xdr:cNvGrpSpPr/>
        </xdr:nvGrpSpPr>
        <xdr:grpSpPr>
          <a:xfrm>
            <a:off x="8043771" y="4736751"/>
            <a:ext cx="99235" cy="79464"/>
            <a:chOff x="7984901" y="4168964"/>
            <a:chExt cx="98699" cy="79464"/>
          </a:xfrm>
        </xdr:grpSpPr>
        <xdr:cxnSp macro="">
          <xdr:nvCxnSpPr>
            <xdr:cNvPr id="43" name="Straight Connector 42">
              <a:extLst>
                <a:ext uri="{FF2B5EF4-FFF2-40B4-BE49-F238E27FC236}">
                  <a16:creationId xmlns:a16="http://schemas.microsoft.com/office/drawing/2014/main" id="{BFA1C47B-9755-4210-9038-BB556BBBCCFA}"/>
                </a:ext>
              </a:extLst>
            </xdr:cNvPr>
            <xdr:cNvCxnSpPr/>
          </xdr:nvCxnSpPr>
          <xdr:spPr>
            <a:xfrm>
              <a:off x="7984901" y="4169535"/>
              <a:ext cx="47873" cy="7548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" name="Straight Connector 43">
              <a:extLst>
                <a:ext uri="{FF2B5EF4-FFF2-40B4-BE49-F238E27FC236}">
                  <a16:creationId xmlns:a16="http://schemas.microsoft.com/office/drawing/2014/main" id="{6A936CFD-530A-4F52-8BDC-EBDA5779F59E}"/>
                </a:ext>
              </a:extLst>
            </xdr:cNvPr>
            <xdr:cNvCxnSpPr/>
          </xdr:nvCxnSpPr>
          <xdr:spPr>
            <a:xfrm flipH="1">
              <a:off x="8028135" y="4168964"/>
              <a:ext cx="55465" cy="79464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3" name="Group 12">
            <a:extLst>
              <a:ext uri="{FF2B5EF4-FFF2-40B4-BE49-F238E27FC236}">
                <a16:creationId xmlns:a16="http://schemas.microsoft.com/office/drawing/2014/main" id="{4C55EE8D-B4DF-4479-9406-59016351A905}"/>
              </a:ext>
            </a:extLst>
          </xdr:cNvPr>
          <xdr:cNvGrpSpPr/>
        </xdr:nvGrpSpPr>
        <xdr:grpSpPr>
          <a:xfrm>
            <a:off x="8258022" y="4738235"/>
            <a:ext cx="99235" cy="79464"/>
            <a:chOff x="7984901" y="4168964"/>
            <a:chExt cx="98699" cy="79464"/>
          </a:xfrm>
        </xdr:grpSpPr>
        <xdr:cxnSp macro="">
          <xdr:nvCxnSpPr>
            <xdr:cNvPr id="41" name="Straight Connector 40">
              <a:extLst>
                <a:ext uri="{FF2B5EF4-FFF2-40B4-BE49-F238E27FC236}">
                  <a16:creationId xmlns:a16="http://schemas.microsoft.com/office/drawing/2014/main" id="{CD6A8EE2-D32E-4396-BF30-C7FBA1894FB7}"/>
                </a:ext>
              </a:extLst>
            </xdr:cNvPr>
            <xdr:cNvCxnSpPr/>
          </xdr:nvCxnSpPr>
          <xdr:spPr>
            <a:xfrm>
              <a:off x="7984901" y="4169535"/>
              <a:ext cx="47873" cy="7548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2" name="Straight Connector 41">
              <a:extLst>
                <a:ext uri="{FF2B5EF4-FFF2-40B4-BE49-F238E27FC236}">
                  <a16:creationId xmlns:a16="http://schemas.microsoft.com/office/drawing/2014/main" id="{325F1FF0-F98D-46EB-A475-D3217BB8246A}"/>
                </a:ext>
              </a:extLst>
            </xdr:cNvPr>
            <xdr:cNvCxnSpPr/>
          </xdr:nvCxnSpPr>
          <xdr:spPr>
            <a:xfrm flipH="1">
              <a:off x="8028135" y="4168964"/>
              <a:ext cx="55465" cy="79464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3ED1E1BA-ED9A-4625-B293-0055E1B5E2A6}"/>
              </a:ext>
            </a:extLst>
          </xdr:cNvPr>
          <xdr:cNvGrpSpPr/>
        </xdr:nvGrpSpPr>
        <xdr:grpSpPr>
          <a:xfrm>
            <a:off x="8474747" y="4737245"/>
            <a:ext cx="99688" cy="79464"/>
            <a:chOff x="7984901" y="4168964"/>
            <a:chExt cx="98699" cy="79464"/>
          </a:xfrm>
        </xdr:grpSpPr>
        <xdr:cxnSp macro="">
          <xdr:nvCxnSpPr>
            <xdr:cNvPr id="39" name="Straight Connector 38">
              <a:extLst>
                <a:ext uri="{FF2B5EF4-FFF2-40B4-BE49-F238E27FC236}">
                  <a16:creationId xmlns:a16="http://schemas.microsoft.com/office/drawing/2014/main" id="{614E331E-9C1A-4942-A976-1BA5154D5C7C}"/>
                </a:ext>
              </a:extLst>
            </xdr:cNvPr>
            <xdr:cNvCxnSpPr/>
          </xdr:nvCxnSpPr>
          <xdr:spPr>
            <a:xfrm>
              <a:off x="7984901" y="4169535"/>
              <a:ext cx="47873" cy="7548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0" name="Straight Connector 39">
              <a:extLst>
                <a:ext uri="{FF2B5EF4-FFF2-40B4-BE49-F238E27FC236}">
                  <a16:creationId xmlns:a16="http://schemas.microsoft.com/office/drawing/2014/main" id="{2B4957C5-E3E6-45D5-877C-83F6C13A7968}"/>
                </a:ext>
              </a:extLst>
            </xdr:cNvPr>
            <xdr:cNvCxnSpPr/>
          </xdr:nvCxnSpPr>
          <xdr:spPr>
            <a:xfrm flipH="1">
              <a:off x="8028135" y="4168964"/>
              <a:ext cx="55465" cy="79464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FE1E84AA-68B5-460D-B16E-FE314729AE69}"/>
              </a:ext>
            </a:extLst>
          </xdr:cNvPr>
          <xdr:cNvGrpSpPr/>
        </xdr:nvGrpSpPr>
        <xdr:grpSpPr>
          <a:xfrm>
            <a:off x="8689861" y="4738897"/>
            <a:ext cx="99235" cy="79464"/>
            <a:chOff x="7984901" y="4168964"/>
            <a:chExt cx="98699" cy="79464"/>
          </a:xfrm>
        </xdr:grpSpPr>
        <xdr:cxnSp macro="">
          <xdr:nvCxnSpPr>
            <xdr:cNvPr id="37" name="Straight Connector 36">
              <a:extLst>
                <a:ext uri="{FF2B5EF4-FFF2-40B4-BE49-F238E27FC236}">
                  <a16:creationId xmlns:a16="http://schemas.microsoft.com/office/drawing/2014/main" id="{5C8FC846-4073-4836-8CDC-14DE1A349B50}"/>
                </a:ext>
              </a:extLst>
            </xdr:cNvPr>
            <xdr:cNvCxnSpPr/>
          </xdr:nvCxnSpPr>
          <xdr:spPr>
            <a:xfrm>
              <a:off x="7984901" y="4169535"/>
              <a:ext cx="47873" cy="7548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" name="Straight Connector 37">
              <a:extLst>
                <a:ext uri="{FF2B5EF4-FFF2-40B4-BE49-F238E27FC236}">
                  <a16:creationId xmlns:a16="http://schemas.microsoft.com/office/drawing/2014/main" id="{A9930BB1-D452-4780-9F6F-C54E6023985F}"/>
                </a:ext>
              </a:extLst>
            </xdr:cNvPr>
            <xdr:cNvCxnSpPr/>
          </xdr:nvCxnSpPr>
          <xdr:spPr>
            <a:xfrm flipH="1">
              <a:off x="8028135" y="4168964"/>
              <a:ext cx="55465" cy="79464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6" name="Group 15">
            <a:extLst>
              <a:ext uri="{FF2B5EF4-FFF2-40B4-BE49-F238E27FC236}">
                <a16:creationId xmlns:a16="http://schemas.microsoft.com/office/drawing/2014/main" id="{427CC4CF-78BE-42E2-A966-532A0FD6A71F}"/>
              </a:ext>
            </a:extLst>
          </xdr:cNvPr>
          <xdr:cNvGrpSpPr/>
        </xdr:nvGrpSpPr>
        <xdr:grpSpPr>
          <a:xfrm>
            <a:off x="8904112" y="4740381"/>
            <a:ext cx="99235" cy="79464"/>
            <a:chOff x="7984901" y="4168964"/>
            <a:chExt cx="98699" cy="79464"/>
          </a:xfrm>
        </xdr:grpSpPr>
        <xdr:cxnSp macro="">
          <xdr:nvCxnSpPr>
            <xdr:cNvPr id="35" name="Straight Connector 34">
              <a:extLst>
                <a:ext uri="{FF2B5EF4-FFF2-40B4-BE49-F238E27FC236}">
                  <a16:creationId xmlns:a16="http://schemas.microsoft.com/office/drawing/2014/main" id="{E5AEC18E-A374-4F48-9893-8310CF8DD45E}"/>
                </a:ext>
              </a:extLst>
            </xdr:cNvPr>
            <xdr:cNvCxnSpPr/>
          </xdr:nvCxnSpPr>
          <xdr:spPr>
            <a:xfrm>
              <a:off x="7984901" y="4169535"/>
              <a:ext cx="47873" cy="7548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" name="Straight Connector 35">
              <a:extLst>
                <a:ext uri="{FF2B5EF4-FFF2-40B4-BE49-F238E27FC236}">
                  <a16:creationId xmlns:a16="http://schemas.microsoft.com/office/drawing/2014/main" id="{32BCC03C-2FE4-4EBD-B510-ADBC3A3D129B}"/>
                </a:ext>
              </a:extLst>
            </xdr:cNvPr>
            <xdr:cNvCxnSpPr/>
          </xdr:nvCxnSpPr>
          <xdr:spPr>
            <a:xfrm flipH="1">
              <a:off x="8028135" y="4168964"/>
              <a:ext cx="55465" cy="79464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7" name="Group 16">
            <a:extLst>
              <a:ext uri="{FF2B5EF4-FFF2-40B4-BE49-F238E27FC236}">
                <a16:creationId xmlns:a16="http://schemas.microsoft.com/office/drawing/2014/main" id="{7CDECBB4-F094-46BF-804A-D669FE0FA50D}"/>
              </a:ext>
            </a:extLst>
          </xdr:cNvPr>
          <xdr:cNvGrpSpPr/>
        </xdr:nvGrpSpPr>
        <xdr:grpSpPr>
          <a:xfrm>
            <a:off x="9121290" y="4739391"/>
            <a:ext cx="99235" cy="79464"/>
            <a:chOff x="7984901" y="4168964"/>
            <a:chExt cx="98699" cy="79464"/>
          </a:xfrm>
        </xdr:grpSpPr>
        <xdr:cxnSp macro="">
          <xdr:nvCxnSpPr>
            <xdr:cNvPr id="33" name="Straight Connector 32">
              <a:extLst>
                <a:ext uri="{FF2B5EF4-FFF2-40B4-BE49-F238E27FC236}">
                  <a16:creationId xmlns:a16="http://schemas.microsoft.com/office/drawing/2014/main" id="{431EB905-3D8D-473E-B734-7D8E14C2E0ED}"/>
                </a:ext>
              </a:extLst>
            </xdr:cNvPr>
            <xdr:cNvCxnSpPr/>
          </xdr:nvCxnSpPr>
          <xdr:spPr>
            <a:xfrm>
              <a:off x="7984901" y="4169535"/>
              <a:ext cx="47873" cy="7548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" name="Straight Connector 33">
              <a:extLst>
                <a:ext uri="{FF2B5EF4-FFF2-40B4-BE49-F238E27FC236}">
                  <a16:creationId xmlns:a16="http://schemas.microsoft.com/office/drawing/2014/main" id="{999EDA71-381F-47EF-B8E1-5A1BDFC96B6B}"/>
                </a:ext>
              </a:extLst>
            </xdr:cNvPr>
            <xdr:cNvCxnSpPr/>
          </xdr:nvCxnSpPr>
          <xdr:spPr>
            <a:xfrm flipH="1">
              <a:off x="8028135" y="4168964"/>
              <a:ext cx="55465" cy="79464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9DE0AD22-71B8-4B5E-867E-BB321598A4F2}"/>
              </a:ext>
            </a:extLst>
          </xdr:cNvPr>
          <xdr:cNvGrpSpPr/>
        </xdr:nvGrpSpPr>
        <xdr:grpSpPr>
          <a:xfrm>
            <a:off x="9341317" y="4738360"/>
            <a:ext cx="99235" cy="79464"/>
            <a:chOff x="7984901" y="4168964"/>
            <a:chExt cx="98699" cy="79464"/>
          </a:xfrm>
        </xdr:grpSpPr>
        <xdr:cxnSp macro="">
          <xdr:nvCxnSpPr>
            <xdr:cNvPr id="31" name="Straight Connector 30">
              <a:extLst>
                <a:ext uri="{FF2B5EF4-FFF2-40B4-BE49-F238E27FC236}">
                  <a16:creationId xmlns:a16="http://schemas.microsoft.com/office/drawing/2014/main" id="{610E6E37-9961-4862-BE51-D5030AF4E980}"/>
                </a:ext>
              </a:extLst>
            </xdr:cNvPr>
            <xdr:cNvCxnSpPr/>
          </xdr:nvCxnSpPr>
          <xdr:spPr>
            <a:xfrm>
              <a:off x="7984901" y="4169535"/>
              <a:ext cx="47873" cy="7548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" name="Straight Connector 31">
              <a:extLst>
                <a:ext uri="{FF2B5EF4-FFF2-40B4-BE49-F238E27FC236}">
                  <a16:creationId xmlns:a16="http://schemas.microsoft.com/office/drawing/2014/main" id="{783CCAF8-E88F-4150-A1E5-55EFFDD0A296}"/>
                </a:ext>
              </a:extLst>
            </xdr:cNvPr>
            <xdr:cNvCxnSpPr/>
          </xdr:nvCxnSpPr>
          <xdr:spPr>
            <a:xfrm flipH="1">
              <a:off x="8028135" y="4168964"/>
              <a:ext cx="55465" cy="79464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9" name="Group 18">
            <a:extLst>
              <a:ext uri="{FF2B5EF4-FFF2-40B4-BE49-F238E27FC236}">
                <a16:creationId xmlns:a16="http://schemas.microsoft.com/office/drawing/2014/main" id="{EA20914D-1D91-4669-B0A9-449DBDEA9AE4}"/>
              </a:ext>
            </a:extLst>
          </xdr:cNvPr>
          <xdr:cNvGrpSpPr/>
        </xdr:nvGrpSpPr>
        <xdr:grpSpPr>
          <a:xfrm>
            <a:off x="9555568" y="4739844"/>
            <a:ext cx="99235" cy="79464"/>
            <a:chOff x="7984901" y="4168964"/>
            <a:chExt cx="98699" cy="79464"/>
          </a:xfrm>
        </xdr:grpSpPr>
        <xdr:cxnSp macro="">
          <xdr:nvCxnSpPr>
            <xdr:cNvPr id="29" name="Straight Connector 28">
              <a:extLst>
                <a:ext uri="{FF2B5EF4-FFF2-40B4-BE49-F238E27FC236}">
                  <a16:creationId xmlns:a16="http://schemas.microsoft.com/office/drawing/2014/main" id="{0816FF1D-B077-4420-9126-2D7F5E19F520}"/>
                </a:ext>
              </a:extLst>
            </xdr:cNvPr>
            <xdr:cNvCxnSpPr/>
          </xdr:nvCxnSpPr>
          <xdr:spPr>
            <a:xfrm>
              <a:off x="7984901" y="4169535"/>
              <a:ext cx="47873" cy="7548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" name="Straight Connector 29">
              <a:extLst>
                <a:ext uri="{FF2B5EF4-FFF2-40B4-BE49-F238E27FC236}">
                  <a16:creationId xmlns:a16="http://schemas.microsoft.com/office/drawing/2014/main" id="{35842B4C-0219-4197-B461-35657151D851}"/>
                </a:ext>
              </a:extLst>
            </xdr:cNvPr>
            <xdr:cNvCxnSpPr/>
          </xdr:nvCxnSpPr>
          <xdr:spPr>
            <a:xfrm flipH="1">
              <a:off x="8028135" y="4168964"/>
              <a:ext cx="55465" cy="79464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0" name="Group 19">
            <a:extLst>
              <a:ext uri="{FF2B5EF4-FFF2-40B4-BE49-F238E27FC236}">
                <a16:creationId xmlns:a16="http://schemas.microsoft.com/office/drawing/2014/main" id="{F368D848-93D4-4704-AC3E-2647E00C1249}"/>
              </a:ext>
            </a:extLst>
          </xdr:cNvPr>
          <xdr:cNvGrpSpPr/>
        </xdr:nvGrpSpPr>
        <xdr:grpSpPr>
          <a:xfrm>
            <a:off x="9772746" y="4738854"/>
            <a:ext cx="99235" cy="79464"/>
            <a:chOff x="7984901" y="4168964"/>
            <a:chExt cx="98699" cy="79464"/>
          </a:xfrm>
        </xdr:grpSpPr>
        <xdr:cxnSp macro="">
          <xdr:nvCxnSpPr>
            <xdr:cNvPr id="27" name="Straight Connector 26">
              <a:extLst>
                <a:ext uri="{FF2B5EF4-FFF2-40B4-BE49-F238E27FC236}">
                  <a16:creationId xmlns:a16="http://schemas.microsoft.com/office/drawing/2014/main" id="{FFAD25F9-7131-4F74-9E3E-CA268A65B504}"/>
                </a:ext>
              </a:extLst>
            </xdr:cNvPr>
            <xdr:cNvCxnSpPr/>
          </xdr:nvCxnSpPr>
          <xdr:spPr>
            <a:xfrm>
              <a:off x="7984901" y="4169535"/>
              <a:ext cx="47873" cy="7548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" name="Straight Connector 27">
              <a:extLst>
                <a:ext uri="{FF2B5EF4-FFF2-40B4-BE49-F238E27FC236}">
                  <a16:creationId xmlns:a16="http://schemas.microsoft.com/office/drawing/2014/main" id="{68A3E997-372F-4D4F-B129-E45DB07E5D89}"/>
                </a:ext>
              </a:extLst>
            </xdr:cNvPr>
            <xdr:cNvCxnSpPr/>
          </xdr:nvCxnSpPr>
          <xdr:spPr>
            <a:xfrm flipH="1">
              <a:off x="8028135" y="4168964"/>
              <a:ext cx="55465" cy="79464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1" name="Group 20">
            <a:extLst>
              <a:ext uri="{FF2B5EF4-FFF2-40B4-BE49-F238E27FC236}">
                <a16:creationId xmlns:a16="http://schemas.microsoft.com/office/drawing/2014/main" id="{BFD8E1AC-2075-41CC-AC71-F87848DF3A3A}"/>
              </a:ext>
            </a:extLst>
          </xdr:cNvPr>
          <xdr:cNvGrpSpPr/>
        </xdr:nvGrpSpPr>
        <xdr:grpSpPr>
          <a:xfrm>
            <a:off x="9990091" y="4740506"/>
            <a:ext cx="99235" cy="79464"/>
            <a:chOff x="7984901" y="4168964"/>
            <a:chExt cx="98699" cy="79464"/>
          </a:xfrm>
        </xdr:grpSpPr>
        <xdr:cxnSp macro="">
          <xdr:nvCxnSpPr>
            <xdr:cNvPr id="25" name="Straight Connector 24">
              <a:extLst>
                <a:ext uri="{FF2B5EF4-FFF2-40B4-BE49-F238E27FC236}">
                  <a16:creationId xmlns:a16="http://schemas.microsoft.com/office/drawing/2014/main" id="{B2CE7D58-6B39-44AA-80A8-5F8E706C3C32}"/>
                </a:ext>
              </a:extLst>
            </xdr:cNvPr>
            <xdr:cNvCxnSpPr/>
          </xdr:nvCxnSpPr>
          <xdr:spPr>
            <a:xfrm>
              <a:off x="7984901" y="4169535"/>
              <a:ext cx="47873" cy="7548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" name="Straight Connector 25">
              <a:extLst>
                <a:ext uri="{FF2B5EF4-FFF2-40B4-BE49-F238E27FC236}">
                  <a16:creationId xmlns:a16="http://schemas.microsoft.com/office/drawing/2014/main" id="{A2306DF0-8377-4240-8DB3-5FB39BB65C1A}"/>
                </a:ext>
              </a:extLst>
            </xdr:cNvPr>
            <xdr:cNvCxnSpPr/>
          </xdr:nvCxnSpPr>
          <xdr:spPr>
            <a:xfrm flipH="1">
              <a:off x="8028135" y="4168964"/>
              <a:ext cx="55465" cy="79464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2AEDB488-72F7-4301-A3F2-3637968F6BD9}"/>
              </a:ext>
            </a:extLst>
          </xdr:cNvPr>
          <xdr:cNvGrpSpPr/>
        </xdr:nvGrpSpPr>
        <xdr:grpSpPr>
          <a:xfrm>
            <a:off x="10204342" y="4741990"/>
            <a:ext cx="99235" cy="79464"/>
            <a:chOff x="7984901" y="4168964"/>
            <a:chExt cx="98699" cy="79464"/>
          </a:xfrm>
        </xdr:grpSpPr>
        <xdr:cxnSp macro="">
          <xdr:nvCxnSpPr>
            <xdr:cNvPr id="23" name="Straight Connector 22">
              <a:extLst>
                <a:ext uri="{FF2B5EF4-FFF2-40B4-BE49-F238E27FC236}">
                  <a16:creationId xmlns:a16="http://schemas.microsoft.com/office/drawing/2014/main" id="{6DF9573D-6D59-442B-A633-8F9FD519EDC7}"/>
                </a:ext>
              </a:extLst>
            </xdr:cNvPr>
            <xdr:cNvCxnSpPr/>
          </xdr:nvCxnSpPr>
          <xdr:spPr>
            <a:xfrm>
              <a:off x="7984901" y="4169535"/>
              <a:ext cx="47873" cy="7548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" name="Straight Connector 23">
              <a:extLst>
                <a:ext uri="{FF2B5EF4-FFF2-40B4-BE49-F238E27FC236}">
                  <a16:creationId xmlns:a16="http://schemas.microsoft.com/office/drawing/2014/main" id="{63673DC1-FC0A-4A38-BEC8-0AB7BD059006}"/>
                </a:ext>
              </a:extLst>
            </xdr:cNvPr>
            <xdr:cNvCxnSpPr/>
          </xdr:nvCxnSpPr>
          <xdr:spPr>
            <a:xfrm flipH="1">
              <a:off x="8028135" y="4168964"/>
              <a:ext cx="55465" cy="79464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15</xdr:col>
      <xdr:colOff>427014</xdr:colOff>
      <xdr:row>17</xdr:row>
      <xdr:rowOff>161925</xdr:rowOff>
    </xdr:from>
    <xdr:to>
      <xdr:col>16</xdr:col>
      <xdr:colOff>220185</xdr:colOff>
      <xdr:row>20</xdr:row>
      <xdr:rowOff>175532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51472CF7-70C1-4FDC-BB0B-09A5A240AD62}"/>
            </a:ext>
          </a:extLst>
        </xdr:cNvPr>
        <xdr:cNvGrpSpPr>
          <a:grpSpLocks/>
        </xdr:cNvGrpSpPr>
      </xdr:nvGrpSpPr>
      <xdr:grpSpPr bwMode="auto">
        <a:xfrm>
          <a:off x="11652907" y="3441246"/>
          <a:ext cx="541564" cy="585107"/>
          <a:chOff x="307" y="285"/>
          <a:chExt cx="42" cy="61"/>
        </a:xfrm>
        <a:gradFill flip="none" rotWithShape="1">
          <a:gsLst>
            <a:gs pos="0">
              <a:srgbClr val="00B0F0">
                <a:shade val="30000"/>
                <a:satMod val="115000"/>
              </a:srgbClr>
            </a:gs>
            <a:gs pos="50000">
              <a:srgbClr val="00B0F0">
                <a:shade val="67500"/>
                <a:satMod val="115000"/>
              </a:srgbClr>
            </a:gs>
            <a:gs pos="100000">
              <a:srgbClr val="00B0F0">
                <a:shade val="100000"/>
                <a:satMod val="115000"/>
              </a:srgbClr>
            </a:gs>
          </a:gsLst>
          <a:lin ang="0" scaled="1"/>
          <a:tileRect/>
        </a:gradFill>
      </xdr:grpSpPr>
      <xdr:sp macro="" textlink="">
        <xdr:nvSpPr>
          <xdr:cNvPr id="46" name="Oval 45">
            <a:extLst>
              <a:ext uri="{FF2B5EF4-FFF2-40B4-BE49-F238E27FC236}">
                <a16:creationId xmlns:a16="http://schemas.microsoft.com/office/drawing/2014/main" id="{AA329DDA-1FA4-4DEA-937D-8723EA8335AF}"/>
              </a:ext>
            </a:extLst>
          </xdr:cNvPr>
          <xdr:cNvSpPr>
            <a:spLocks noChangeArrowheads="1"/>
          </xdr:cNvSpPr>
        </xdr:nvSpPr>
        <xdr:spPr bwMode="auto">
          <a:xfrm rot="5400000">
            <a:off x="308" y="296"/>
            <a:ext cx="40" cy="42"/>
          </a:xfrm>
          <a:prstGeom prst="ellipse">
            <a:avLst/>
          </a:prstGeom>
          <a:grpFill/>
          <a:ln w="158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7" name="Line 301">
            <a:extLst>
              <a:ext uri="{FF2B5EF4-FFF2-40B4-BE49-F238E27FC236}">
                <a16:creationId xmlns:a16="http://schemas.microsoft.com/office/drawing/2014/main" id="{01035DB7-9CA2-4180-A4BC-B6C3A10DAD6B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316" y="296"/>
            <a:ext cx="22" cy="0"/>
          </a:xfrm>
          <a:prstGeom prst="line">
            <a:avLst/>
          </a:prstGeom>
          <a:grp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" name="Line 302">
            <a:extLst>
              <a:ext uri="{FF2B5EF4-FFF2-40B4-BE49-F238E27FC236}">
                <a16:creationId xmlns:a16="http://schemas.microsoft.com/office/drawing/2014/main" id="{22618EB9-2C95-4525-B327-B4ADEB60FB25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332" y="303"/>
            <a:ext cx="0" cy="10"/>
          </a:xfrm>
          <a:prstGeom prst="line">
            <a:avLst/>
          </a:prstGeom>
          <a:grp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9" name="Line 303">
            <a:extLst>
              <a:ext uri="{FF2B5EF4-FFF2-40B4-BE49-F238E27FC236}">
                <a16:creationId xmlns:a16="http://schemas.microsoft.com/office/drawing/2014/main" id="{2A6462A9-C73B-45CF-960A-B07CB6EAA9B5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318" y="308"/>
            <a:ext cx="20" cy="20"/>
          </a:xfrm>
          <a:prstGeom prst="line">
            <a:avLst/>
          </a:prstGeom>
          <a:grp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0" name="Line 304">
            <a:extLst>
              <a:ext uri="{FF2B5EF4-FFF2-40B4-BE49-F238E27FC236}">
                <a16:creationId xmlns:a16="http://schemas.microsoft.com/office/drawing/2014/main" id="{292C9799-B34D-43B8-AB3C-5558726288DE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318" y="337"/>
            <a:ext cx="18" cy="0"/>
          </a:xfrm>
          <a:prstGeom prst="line">
            <a:avLst/>
          </a:prstGeom>
          <a:grp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" name="Line 305">
            <a:extLst>
              <a:ext uri="{FF2B5EF4-FFF2-40B4-BE49-F238E27FC236}">
                <a16:creationId xmlns:a16="http://schemas.microsoft.com/office/drawing/2014/main" id="{9BDFBCCA-F667-47D1-A039-ECA2EC8969B2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322" y="324"/>
            <a:ext cx="0" cy="8"/>
          </a:xfrm>
          <a:prstGeom prst="line">
            <a:avLst/>
          </a:prstGeom>
          <a:grpFill/>
          <a:ln w="285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14</xdr:col>
      <xdr:colOff>597477</xdr:colOff>
      <xdr:row>17</xdr:row>
      <xdr:rowOff>8659</xdr:rowOff>
    </xdr:from>
    <xdr:to>
      <xdr:col>16</xdr:col>
      <xdr:colOff>8757</xdr:colOff>
      <xdr:row>17</xdr:row>
      <xdr:rowOff>161925</xdr:rowOff>
    </xdr:to>
    <xdr:cxnSp macro="">
      <xdr:nvCxnSpPr>
        <xdr:cNvPr id="52" name="Elbow Connector 114">
          <a:extLst>
            <a:ext uri="{FF2B5EF4-FFF2-40B4-BE49-F238E27FC236}">
              <a16:creationId xmlns:a16="http://schemas.microsoft.com/office/drawing/2014/main" id="{106AF15C-4B4E-4106-86EC-56F7FF91554D}"/>
            </a:ext>
          </a:extLst>
        </xdr:cNvPr>
        <xdr:cNvCxnSpPr>
          <a:stCxn id="47" idx="0"/>
        </xdr:cNvCxnSpPr>
      </xdr:nvCxnSpPr>
      <xdr:spPr>
        <a:xfrm rot="10800000">
          <a:off x="10332027" y="3266209"/>
          <a:ext cx="801930" cy="153266"/>
        </a:xfrm>
        <a:prstGeom prst="bentConnector3">
          <a:avLst>
            <a:gd name="adj1" fmla="val 8"/>
          </a:avLst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597476</xdr:colOff>
      <xdr:row>20</xdr:row>
      <xdr:rowOff>175533</xdr:rowOff>
    </xdr:from>
    <xdr:to>
      <xdr:col>16</xdr:col>
      <xdr:colOff>8756</xdr:colOff>
      <xdr:row>21</xdr:row>
      <xdr:rowOff>181840</xdr:rowOff>
    </xdr:to>
    <xdr:cxnSp macro="">
      <xdr:nvCxnSpPr>
        <xdr:cNvPr id="53" name="Elbow Connector 116">
          <a:extLst>
            <a:ext uri="{FF2B5EF4-FFF2-40B4-BE49-F238E27FC236}">
              <a16:creationId xmlns:a16="http://schemas.microsoft.com/office/drawing/2014/main" id="{E6E71BC6-FA1A-4AB9-BA9C-D764531302C6}"/>
            </a:ext>
          </a:extLst>
        </xdr:cNvPr>
        <xdr:cNvCxnSpPr>
          <a:endCxn id="50" idx="1"/>
        </xdr:cNvCxnSpPr>
      </xdr:nvCxnSpPr>
      <xdr:spPr>
        <a:xfrm flipV="1">
          <a:off x="10332026" y="4004583"/>
          <a:ext cx="801930" cy="196807"/>
        </a:xfrm>
        <a:prstGeom prst="bentConnector3">
          <a:avLst>
            <a:gd name="adj1" fmla="val 99822"/>
          </a:avLst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262397</xdr:colOff>
      <xdr:row>19</xdr:row>
      <xdr:rowOff>71713</xdr:rowOff>
    </xdr:from>
    <xdr:to>
      <xdr:col>14</xdr:col>
      <xdr:colOff>350320</xdr:colOff>
      <xdr:row>21</xdr:row>
      <xdr:rowOff>908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CEADF162-5C5B-47FE-99CC-BCB0F4F81BEA}"/>
            </a:ext>
          </a:extLst>
        </xdr:cNvPr>
        <xdr:cNvGrpSpPr/>
      </xdr:nvGrpSpPr>
      <xdr:grpSpPr>
        <a:xfrm>
          <a:off x="8494718" y="3732034"/>
          <a:ext cx="2333102" cy="310195"/>
          <a:chOff x="8150288" y="1155190"/>
          <a:chExt cx="1909579" cy="310195"/>
        </a:xfrm>
      </xdr:grpSpPr>
      <xdr:sp macro="" textlink="">
        <xdr:nvSpPr>
          <xdr:cNvPr id="55" name="Oval 54">
            <a:extLst>
              <a:ext uri="{FF2B5EF4-FFF2-40B4-BE49-F238E27FC236}">
                <a16:creationId xmlns:a16="http://schemas.microsoft.com/office/drawing/2014/main" id="{DFA3E21D-5A9B-4648-A951-D2601DD58426}"/>
              </a:ext>
            </a:extLst>
          </xdr:cNvPr>
          <xdr:cNvSpPr/>
        </xdr:nvSpPr>
        <xdr:spPr>
          <a:xfrm flipV="1">
            <a:off x="8150288" y="1340827"/>
            <a:ext cx="1909579" cy="124558"/>
          </a:xfrm>
          <a:prstGeom prst="ellipse">
            <a:avLst/>
          </a:prstGeom>
          <a:noFill/>
          <a:ln w="28575">
            <a:solidFill>
              <a:schemeClr val="accent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56" name="Group 55">
            <a:extLst>
              <a:ext uri="{FF2B5EF4-FFF2-40B4-BE49-F238E27FC236}">
                <a16:creationId xmlns:a16="http://schemas.microsoft.com/office/drawing/2014/main" id="{5D38EBB6-910F-42A4-B6A5-D8960D878CF6}"/>
              </a:ext>
            </a:extLst>
          </xdr:cNvPr>
          <xdr:cNvGrpSpPr/>
        </xdr:nvGrpSpPr>
        <xdr:grpSpPr>
          <a:xfrm rot="2461337">
            <a:off x="8182516" y="1155190"/>
            <a:ext cx="154731" cy="224049"/>
            <a:chOff x="7536175" y="1101610"/>
            <a:chExt cx="154731" cy="224049"/>
          </a:xfrm>
        </xdr:grpSpPr>
        <xdr:sp macro="" textlink="">
          <xdr:nvSpPr>
            <xdr:cNvPr id="61" name="Isosceles Triangle 60">
              <a:extLst>
                <a:ext uri="{FF2B5EF4-FFF2-40B4-BE49-F238E27FC236}">
                  <a16:creationId xmlns:a16="http://schemas.microsoft.com/office/drawing/2014/main" id="{BD0F5817-DDCC-4F83-97A4-1D2A457F60BC}"/>
                </a:ext>
              </a:extLst>
            </xdr:cNvPr>
            <xdr:cNvSpPr/>
          </xdr:nvSpPr>
          <xdr:spPr>
            <a:xfrm rot="10800000">
              <a:off x="7536175" y="1147328"/>
              <a:ext cx="153865" cy="90875"/>
            </a:xfrm>
            <a:prstGeom prst="triangl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62" name="Isosceles Triangle 61">
              <a:extLst>
                <a:ext uri="{FF2B5EF4-FFF2-40B4-BE49-F238E27FC236}">
                  <a16:creationId xmlns:a16="http://schemas.microsoft.com/office/drawing/2014/main" id="{604AAB09-B376-48DD-91F1-982393707AD5}"/>
                </a:ext>
              </a:extLst>
            </xdr:cNvPr>
            <xdr:cNvSpPr/>
          </xdr:nvSpPr>
          <xdr:spPr>
            <a:xfrm>
              <a:off x="7537041" y="1234784"/>
              <a:ext cx="153865" cy="90875"/>
            </a:xfrm>
            <a:prstGeom prst="triangl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63" name="Rectangle 62">
              <a:extLst>
                <a:ext uri="{FF2B5EF4-FFF2-40B4-BE49-F238E27FC236}">
                  <a16:creationId xmlns:a16="http://schemas.microsoft.com/office/drawing/2014/main" id="{F9EB8492-5EEB-4BBA-8791-05B7E6123DA6}"/>
                </a:ext>
              </a:extLst>
            </xdr:cNvPr>
            <xdr:cNvSpPr/>
          </xdr:nvSpPr>
          <xdr:spPr>
            <a:xfrm>
              <a:off x="7571775" y="1101610"/>
              <a:ext cx="84772" cy="45719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57" name="Group 56">
            <a:extLst>
              <a:ext uri="{FF2B5EF4-FFF2-40B4-BE49-F238E27FC236}">
                <a16:creationId xmlns:a16="http://schemas.microsoft.com/office/drawing/2014/main" id="{39524F4B-306E-4C57-A83B-2F9E91895BB4}"/>
              </a:ext>
            </a:extLst>
          </xdr:cNvPr>
          <xdr:cNvGrpSpPr/>
        </xdr:nvGrpSpPr>
        <xdr:grpSpPr>
          <a:xfrm rot="19151057">
            <a:off x="9870820" y="1158759"/>
            <a:ext cx="154731" cy="224049"/>
            <a:chOff x="7536175" y="1101610"/>
            <a:chExt cx="154731" cy="224049"/>
          </a:xfrm>
        </xdr:grpSpPr>
        <xdr:sp macro="" textlink="">
          <xdr:nvSpPr>
            <xdr:cNvPr id="58" name="Isosceles Triangle 57">
              <a:extLst>
                <a:ext uri="{FF2B5EF4-FFF2-40B4-BE49-F238E27FC236}">
                  <a16:creationId xmlns:a16="http://schemas.microsoft.com/office/drawing/2014/main" id="{45C954E5-D230-4AE5-AC96-95F4E217B304}"/>
                </a:ext>
              </a:extLst>
            </xdr:cNvPr>
            <xdr:cNvSpPr/>
          </xdr:nvSpPr>
          <xdr:spPr>
            <a:xfrm rot="10800000">
              <a:off x="7536175" y="1147328"/>
              <a:ext cx="153865" cy="90875"/>
            </a:xfrm>
            <a:prstGeom prst="triangl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59" name="Isosceles Triangle 58">
              <a:extLst>
                <a:ext uri="{FF2B5EF4-FFF2-40B4-BE49-F238E27FC236}">
                  <a16:creationId xmlns:a16="http://schemas.microsoft.com/office/drawing/2014/main" id="{A49420DA-E4D9-4202-A8CB-D3E8F593BDA6}"/>
                </a:ext>
              </a:extLst>
            </xdr:cNvPr>
            <xdr:cNvSpPr/>
          </xdr:nvSpPr>
          <xdr:spPr>
            <a:xfrm>
              <a:off x="7537041" y="1234784"/>
              <a:ext cx="153865" cy="90875"/>
            </a:xfrm>
            <a:prstGeom prst="triangl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60" name="Rectangle 59">
              <a:extLst>
                <a:ext uri="{FF2B5EF4-FFF2-40B4-BE49-F238E27FC236}">
                  <a16:creationId xmlns:a16="http://schemas.microsoft.com/office/drawing/2014/main" id="{CAFD6A42-8E64-4FE5-841C-D5B7D72DA30A}"/>
                </a:ext>
              </a:extLst>
            </xdr:cNvPr>
            <xdr:cNvSpPr/>
          </xdr:nvSpPr>
          <xdr:spPr>
            <a:xfrm>
              <a:off x="7571775" y="1101610"/>
              <a:ext cx="84772" cy="45719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xdr:twoCellAnchor>
    <xdr:from>
      <xdr:col>16</xdr:col>
      <xdr:colOff>161550</xdr:colOff>
      <xdr:row>20</xdr:row>
      <xdr:rowOff>33017</xdr:rowOff>
    </xdr:from>
    <xdr:to>
      <xdr:col>16</xdr:col>
      <xdr:colOff>285749</xdr:colOff>
      <xdr:row>20</xdr:row>
      <xdr:rowOff>184547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C7B793B3-FA03-4184-AB50-D3C5F3AE0FE7}"/>
            </a:ext>
          </a:extLst>
        </xdr:cNvPr>
        <xdr:cNvCxnSpPr>
          <a:stCxn id="46" idx="7"/>
        </xdr:cNvCxnSpPr>
      </xdr:nvCxnSpPr>
      <xdr:spPr>
        <a:xfrm>
          <a:off x="11286750" y="3862067"/>
          <a:ext cx="124199" cy="151530"/>
        </a:xfrm>
        <a:prstGeom prst="straightConnector1">
          <a:avLst/>
        </a:prstGeom>
        <a:ln>
          <a:headEnd type="triangle" w="med" len="med"/>
          <a:tailEnd type="none" w="med" len="med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285750</xdr:colOff>
      <xdr:row>20</xdr:row>
      <xdr:rowOff>184547</xdr:rowOff>
    </xdr:from>
    <xdr:to>
      <xdr:col>17</xdr:col>
      <xdr:colOff>5953</xdr:colOff>
      <xdr:row>20</xdr:row>
      <xdr:rowOff>184547</xdr:rowOff>
    </xdr:to>
    <xdr:cxnSp macro="">
      <xdr:nvCxnSpPr>
        <xdr:cNvPr id="65" name="Straight Arrow Connector 64">
          <a:extLst>
            <a:ext uri="{FF2B5EF4-FFF2-40B4-BE49-F238E27FC236}">
              <a16:creationId xmlns:a16="http://schemas.microsoft.com/office/drawing/2014/main" id="{AADDBC33-2D2D-46EC-92F5-4372E9E6A180}"/>
            </a:ext>
          </a:extLst>
        </xdr:cNvPr>
        <xdr:cNvCxnSpPr/>
      </xdr:nvCxnSpPr>
      <xdr:spPr>
        <a:xfrm flipH="1">
          <a:off x="11410950" y="4013597"/>
          <a:ext cx="415528" cy="0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289322</xdr:colOff>
      <xdr:row>17</xdr:row>
      <xdr:rowOff>188119</xdr:rowOff>
    </xdr:from>
    <xdr:to>
      <xdr:col>17</xdr:col>
      <xdr:colOff>9525</xdr:colOff>
      <xdr:row>17</xdr:row>
      <xdr:rowOff>188119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9059BE1D-1E5A-472C-98CA-EEC5C72A7A66}"/>
            </a:ext>
          </a:extLst>
        </xdr:cNvPr>
        <xdr:cNvCxnSpPr/>
      </xdr:nvCxnSpPr>
      <xdr:spPr>
        <a:xfrm flipH="1">
          <a:off x="11414522" y="3445669"/>
          <a:ext cx="415528" cy="0"/>
        </a:xfrm>
        <a:prstGeom prst="straightConnector1">
          <a:avLst/>
        </a:prstGeom>
        <a:ln>
          <a:headEnd type="triangle" w="med" len="med"/>
          <a:tailEnd type="none" w="med" len="med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161550</xdr:colOff>
      <xdr:row>18</xdr:row>
      <xdr:rowOff>0</xdr:rowOff>
    </xdr:from>
    <xdr:to>
      <xdr:col>16</xdr:col>
      <xdr:colOff>291703</xdr:colOff>
      <xdr:row>18</xdr:row>
      <xdr:rowOff>142716</xdr:rowOff>
    </xdr:to>
    <xdr:cxnSp macro="">
      <xdr:nvCxnSpPr>
        <xdr:cNvPr id="67" name="Straight Arrow Connector 66">
          <a:extLst>
            <a:ext uri="{FF2B5EF4-FFF2-40B4-BE49-F238E27FC236}">
              <a16:creationId xmlns:a16="http://schemas.microsoft.com/office/drawing/2014/main" id="{642E7418-3F95-4190-A85B-43BDD1F67F7F}"/>
            </a:ext>
          </a:extLst>
        </xdr:cNvPr>
        <xdr:cNvCxnSpPr>
          <a:endCxn id="46" idx="1"/>
        </xdr:cNvCxnSpPr>
      </xdr:nvCxnSpPr>
      <xdr:spPr>
        <a:xfrm flipH="1">
          <a:off x="11286750" y="3448050"/>
          <a:ext cx="130153" cy="142716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oneCellAnchor>
    <xdr:from>
      <xdr:col>16</xdr:col>
      <xdr:colOff>232171</xdr:colOff>
      <xdr:row>18</xdr:row>
      <xdr:rowOff>136922</xdr:rowOff>
    </xdr:from>
    <xdr:ext cx="582724" cy="264560"/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7E5B2011-B01C-46FE-97E7-B897B34991B4}"/>
            </a:ext>
          </a:extLst>
        </xdr:cNvPr>
        <xdr:cNvSpPr txBox="1"/>
      </xdr:nvSpPr>
      <xdr:spPr>
        <a:xfrm>
          <a:off x="11357371" y="3584972"/>
          <a:ext cx="58272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solidFill>
                <a:srgbClr val="0070C0"/>
              </a:solidFill>
            </a:rPr>
            <a:t>E-2202</a:t>
          </a:r>
        </a:p>
      </xdr:txBody>
    </xdr:sp>
    <xdr:clientData/>
  </xdr:oneCellAnchor>
  <xdr:oneCellAnchor>
    <xdr:from>
      <xdr:col>16</xdr:col>
      <xdr:colOff>598884</xdr:colOff>
      <xdr:row>20</xdr:row>
      <xdr:rowOff>57151</xdr:rowOff>
    </xdr:from>
    <xdr:ext cx="405432" cy="264560"/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12E8DED8-874E-481C-B581-24A792CC8A5F}"/>
            </a:ext>
          </a:extLst>
        </xdr:cNvPr>
        <xdr:cNvSpPr txBox="1"/>
      </xdr:nvSpPr>
      <xdr:spPr>
        <a:xfrm>
          <a:off x="11724084" y="3886201"/>
          <a:ext cx="40543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solidFill>
                <a:srgbClr val="0070C0"/>
              </a:solidFill>
            </a:rPr>
            <a:t>RCS</a:t>
          </a:r>
        </a:p>
      </xdr:txBody>
    </xdr:sp>
    <xdr:clientData/>
  </xdr:oneCellAnchor>
  <xdr:oneCellAnchor>
    <xdr:from>
      <xdr:col>16</xdr:col>
      <xdr:colOff>602455</xdr:colOff>
      <xdr:row>17</xdr:row>
      <xdr:rowOff>60723</xdr:rowOff>
    </xdr:from>
    <xdr:ext cx="418191" cy="264560"/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65151BFF-C90F-46E0-837D-05BE3260121D}"/>
            </a:ext>
          </a:extLst>
        </xdr:cNvPr>
        <xdr:cNvSpPr txBox="1"/>
      </xdr:nvSpPr>
      <xdr:spPr>
        <a:xfrm>
          <a:off x="11727655" y="3318273"/>
          <a:ext cx="41819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solidFill>
                <a:srgbClr val="0070C0"/>
              </a:solidFill>
            </a:rPr>
            <a:t>RCR</a:t>
          </a:r>
        </a:p>
      </xdr:txBody>
    </xdr:sp>
    <xdr:clientData/>
  </xdr:oneCellAnchor>
  <xdr:twoCellAnchor>
    <xdr:from>
      <xdr:col>1</xdr:col>
      <xdr:colOff>16144</xdr:colOff>
      <xdr:row>20</xdr:row>
      <xdr:rowOff>16144</xdr:rowOff>
    </xdr:from>
    <xdr:to>
      <xdr:col>3</xdr:col>
      <xdr:colOff>16144</xdr:colOff>
      <xdr:row>22</xdr:row>
      <xdr:rowOff>177585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B9B52DD1-9372-41B1-AB04-912B330FD58D}"/>
            </a:ext>
          </a:extLst>
        </xdr:cNvPr>
        <xdr:cNvSpPr/>
      </xdr:nvSpPr>
      <xdr:spPr>
        <a:xfrm>
          <a:off x="711469" y="3845194"/>
          <a:ext cx="1390650" cy="542441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Fresh</a:t>
          </a:r>
          <a:r>
            <a:rPr lang="en-US" sz="1400" b="1" baseline="0"/>
            <a:t> Cumene</a:t>
          </a:r>
          <a:endParaRPr lang="en-US" sz="1400" b="1"/>
        </a:p>
      </xdr:txBody>
    </xdr:sp>
    <xdr:clientData/>
  </xdr:twoCellAnchor>
  <xdr:twoCellAnchor>
    <xdr:from>
      <xdr:col>0</xdr:col>
      <xdr:colOff>604434</xdr:colOff>
      <xdr:row>30</xdr:row>
      <xdr:rowOff>127161</xdr:rowOff>
    </xdr:from>
    <xdr:to>
      <xdr:col>2</xdr:col>
      <xdr:colOff>604434</xdr:colOff>
      <xdr:row>33</xdr:row>
      <xdr:rowOff>98101</xdr:rowOff>
    </xdr:to>
    <xdr:sp macro="" textlink="">
      <xdr:nvSpPr>
        <xdr:cNvPr id="73" name="Rectangle 72">
          <a:extLst>
            <a:ext uri="{FF2B5EF4-FFF2-40B4-BE49-F238E27FC236}">
              <a16:creationId xmlns:a16="http://schemas.microsoft.com/office/drawing/2014/main" id="{890D52C5-9000-4F4E-89E1-B9A5D43D27C5}"/>
            </a:ext>
          </a:extLst>
        </xdr:cNvPr>
        <xdr:cNvSpPr/>
      </xdr:nvSpPr>
      <xdr:spPr>
        <a:xfrm>
          <a:off x="604434" y="5870736"/>
          <a:ext cx="1390650" cy="52339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AIR</a:t>
          </a:r>
        </a:p>
      </xdr:txBody>
    </xdr:sp>
    <xdr:clientData/>
  </xdr:twoCellAnchor>
  <xdr:twoCellAnchor>
    <xdr:from>
      <xdr:col>3</xdr:col>
      <xdr:colOff>16144</xdr:colOff>
      <xdr:row>21</xdr:row>
      <xdr:rowOff>908</xdr:rowOff>
    </xdr:from>
    <xdr:to>
      <xdr:col>12</xdr:col>
      <xdr:colOff>613096</xdr:colOff>
      <xdr:row>21</xdr:row>
      <xdr:rowOff>96864</xdr:rowOff>
    </xdr:to>
    <xdr:cxnSp macro="">
      <xdr:nvCxnSpPr>
        <xdr:cNvPr id="74" name="Elbow Connector 11">
          <a:extLst>
            <a:ext uri="{FF2B5EF4-FFF2-40B4-BE49-F238E27FC236}">
              <a16:creationId xmlns:a16="http://schemas.microsoft.com/office/drawing/2014/main" id="{098CCA97-958B-4D46-AD0A-83C95F55D9A3}"/>
            </a:ext>
          </a:extLst>
        </xdr:cNvPr>
        <xdr:cNvCxnSpPr>
          <a:stCxn id="72" idx="3"/>
          <a:endCxn id="55" idx="0"/>
        </xdr:cNvCxnSpPr>
      </xdr:nvCxnSpPr>
      <xdr:spPr>
        <a:xfrm flipV="1">
          <a:off x="2102119" y="4020458"/>
          <a:ext cx="6854877" cy="95956"/>
        </a:xfrm>
        <a:prstGeom prst="bentConnector2">
          <a:avLst/>
        </a:prstGeom>
        <a:ln w="38100"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604434</xdr:colOff>
      <xdr:row>22</xdr:row>
      <xdr:rowOff>52638</xdr:rowOff>
    </xdr:from>
    <xdr:to>
      <xdr:col>11</xdr:col>
      <xdr:colOff>16328</xdr:colOff>
      <xdr:row>32</xdr:row>
      <xdr:rowOff>17381</xdr:rowOff>
    </xdr:to>
    <xdr:cxnSp macro="">
      <xdr:nvCxnSpPr>
        <xdr:cNvPr id="75" name="Elbow Connector 140">
          <a:extLst>
            <a:ext uri="{FF2B5EF4-FFF2-40B4-BE49-F238E27FC236}">
              <a16:creationId xmlns:a16="http://schemas.microsoft.com/office/drawing/2014/main" id="{BDCC394B-F724-4517-A1E6-6CDCB0265F37}"/>
            </a:ext>
          </a:extLst>
        </xdr:cNvPr>
        <xdr:cNvCxnSpPr>
          <a:stCxn id="73" idx="3"/>
          <a:endCxn id="10" idx="1"/>
        </xdr:cNvCxnSpPr>
      </xdr:nvCxnSpPr>
      <xdr:spPr>
        <a:xfrm flipV="1">
          <a:off x="1995084" y="4262688"/>
          <a:ext cx="5669819" cy="1869743"/>
        </a:xfrm>
        <a:prstGeom prst="bentConnector3">
          <a:avLst>
            <a:gd name="adj1" fmla="val 62162"/>
          </a:avLst>
        </a:prstGeom>
        <a:ln w="38100"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8323</xdr:colOff>
      <xdr:row>10</xdr:row>
      <xdr:rowOff>179294</xdr:rowOff>
    </xdr:from>
    <xdr:to>
      <xdr:col>7</xdr:col>
      <xdr:colOff>8324</xdr:colOff>
      <xdr:row>13</xdr:row>
      <xdr:rowOff>170196</xdr:rowOff>
    </xdr:to>
    <xdr:sp macro="" textlink="">
      <xdr:nvSpPr>
        <xdr:cNvPr id="76" name="Rectangle 75">
          <a:extLst>
            <a:ext uri="{FF2B5EF4-FFF2-40B4-BE49-F238E27FC236}">
              <a16:creationId xmlns:a16="http://schemas.microsoft.com/office/drawing/2014/main" id="{80C0FC4B-2F30-42AA-A55B-4B913BEAF9DA}"/>
            </a:ext>
          </a:extLst>
        </xdr:cNvPr>
        <xdr:cNvSpPr/>
      </xdr:nvSpPr>
      <xdr:spPr>
        <a:xfrm>
          <a:off x="3484948" y="2141444"/>
          <a:ext cx="1390651" cy="533827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Cumene</a:t>
          </a:r>
        </a:p>
        <a:p>
          <a:pPr algn="ctr"/>
          <a:r>
            <a:rPr lang="en-US" sz="1400" b="1"/>
            <a:t>Circulation</a:t>
          </a:r>
        </a:p>
      </xdr:txBody>
    </xdr:sp>
    <xdr:clientData/>
  </xdr:twoCellAnchor>
  <xdr:twoCellAnchor>
    <xdr:from>
      <xdr:col>6</xdr:col>
      <xdr:colOff>4805</xdr:colOff>
      <xdr:row>13</xdr:row>
      <xdr:rowOff>181404</xdr:rowOff>
    </xdr:from>
    <xdr:to>
      <xdr:col>6</xdr:col>
      <xdr:colOff>8324</xdr:colOff>
      <xdr:row>21</xdr:row>
      <xdr:rowOff>136076</xdr:rowOff>
    </xdr:to>
    <xdr:cxnSp macro="">
      <xdr:nvCxnSpPr>
        <xdr:cNvPr id="77" name="Elbow Connector 145">
          <a:extLst>
            <a:ext uri="{FF2B5EF4-FFF2-40B4-BE49-F238E27FC236}">
              <a16:creationId xmlns:a16="http://schemas.microsoft.com/office/drawing/2014/main" id="{046ADCE3-3717-478C-A934-6B24CB8071CB}"/>
            </a:ext>
          </a:extLst>
        </xdr:cNvPr>
        <xdr:cNvCxnSpPr/>
      </xdr:nvCxnSpPr>
      <xdr:spPr>
        <a:xfrm rot="5400000">
          <a:off x="3443941" y="3419293"/>
          <a:ext cx="1469147" cy="3519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oneCellAnchor>
    <xdr:from>
      <xdr:col>12</xdr:col>
      <xdr:colOff>288955</xdr:colOff>
      <xdr:row>14</xdr:row>
      <xdr:rowOff>86549</xdr:rowOff>
    </xdr:from>
    <xdr:ext cx="686983" cy="264560"/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187B9A28-5D5B-44D7-A413-5DF7FC7142B5}"/>
            </a:ext>
          </a:extLst>
        </xdr:cNvPr>
        <xdr:cNvSpPr txBox="1"/>
      </xdr:nvSpPr>
      <xdr:spPr>
        <a:xfrm>
          <a:off x="8632855" y="2772599"/>
          <a:ext cx="68698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OX-1201</a:t>
          </a:r>
        </a:p>
      </xdr:txBody>
    </xdr:sp>
    <xdr:clientData/>
  </xdr:oneCellAnchor>
  <xdr:twoCellAnchor>
    <xdr:from>
      <xdr:col>11</xdr:col>
      <xdr:colOff>416755</xdr:colOff>
      <xdr:row>20</xdr:row>
      <xdr:rowOff>110783</xdr:rowOff>
    </xdr:from>
    <xdr:to>
      <xdr:col>11</xdr:col>
      <xdr:colOff>468630</xdr:colOff>
      <xdr:row>20</xdr:row>
      <xdr:rowOff>163830</xdr:rowOff>
    </xdr:to>
    <xdr:sp macro="" textlink="">
      <xdr:nvSpPr>
        <xdr:cNvPr id="79" name="Oval 78">
          <a:extLst>
            <a:ext uri="{FF2B5EF4-FFF2-40B4-BE49-F238E27FC236}">
              <a16:creationId xmlns:a16="http://schemas.microsoft.com/office/drawing/2014/main" id="{A70F6031-AC8C-4DCD-A3E5-A8B51DE5775F}"/>
            </a:ext>
          </a:extLst>
        </xdr:cNvPr>
        <xdr:cNvSpPr/>
      </xdr:nvSpPr>
      <xdr:spPr>
        <a:xfrm>
          <a:off x="8065330" y="3939833"/>
          <a:ext cx="51875" cy="53047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119575</xdr:colOff>
      <xdr:row>20</xdr:row>
      <xdr:rowOff>183173</xdr:rowOff>
    </xdr:from>
    <xdr:to>
      <xdr:col>11</xdr:col>
      <xdr:colOff>171450</xdr:colOff>
      <xdr:row>21</xdr:row>
      <xdr:rowOff>45720</xdr:rowOff>
    </xdr:to>
    <xdr:sp macro="" textlink="">
      <xdr:nvSpPr>
        <xdr:cNvPr id="80" name="Oval 79">
          <a:extLst>
            <a:ext uri="{FF2B5EF4-FFF2-40B4-BE49-F238E27FC236}">
              <a16:creationId xmlns:a16="http://schemas.microsoft.com/office/drawing/2014/main" id="{4B0DCE74-E2CA-4DB4-AD2D-D50ABDB1671B}"/>
            </a:ext>
          </a:extLst>
        </xdr:cNvPr>
        <xdr:cNvSpPr/>
      </xdr:nvSpPr>
      <xdr:spPr>
        <a:xfrm>
          <a:off x="7768150" y="4012223"/>
          <a:ext cx="51875" cy="53047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119575</xdr:colOff>
      <xdr:row>20</xdr:row>
      <xdr:rowOff>80303</xdr:rowOff>
    </xdr:from>
    <xdr:to>
      <xdr:col>12</xdr:col>
      <xdr:colOff>171450</xdr:colOff>
      <xdr:row>20</xdr:row>
      <xdr:rowOff>133350</xdr:rowOff>
    </xdr:to>
    <xdr:sp macro="" textlink="">
      <xdr:nvSpPr>
        <xdr:cNvPr id="81" name="Oval 80">
          <a:extLst>
            <a:ext uri="{FF2B5EF4-FFF2-40B4-BE49-F238E27FC236}">
              <a16:creationId xmlns:a16="http://schemas.microsoft.com/office/drawing/2014/main" id="{9F294618-4A82-42CB-94CC-F1CE40A3E809}"/>
            </a:ext>
          </a:extLst>
        </xdr:cNvPr>
        <xdr:cNvSpPr/>
      </xdr:nvSpPr>
      <xdr:spPr>
        <a:xfrm>
          <a:off x="8463475" y="3909353"/>
          <a:ext cx="51875" cy="53047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20515</xdr:colOff>
      <xdr:row>21</xdr:row>
      <xdr:rowOff>42203</xdr:rowOff>
    </xdr:from>
    <xdr:to>
      <xdr:col>13</xdr:col>
      <xdr:colOff>72390</xdr:colOff>
      <xdr:row>21</xdr:row>
      <xdr:rowOff>95250</xdr:rowOff>
    </xdr:to>
    <xdr:sp macro="" textlink="">
      <xdr:nvSpPr>
        <xdr:cNvPr id="82" name="Oval 81">
          <a:extLst>
            <a:ext uri="{FF2B5EF4-FFF2-40B4-BE49-F238E27FC236}">
              <a16:creationId xmlns:a16="http://schemas.microsoft.com/office/drawing/2014/main" id="{3D99D57D-D650-41EC-BD4C-922D5FE1252F}"/>
            </a:ext>
          </a:extLst>
        </xdr:cNvPr>
        <xdr:cNvSpPr/>
      </xdr:nvSpPr>
      <xdr:spPr>
        <a:xfrm>
          <a:off x="9059740" y="4061753"/>
          <a:ext cx="51875" cy="53047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359605</xdr:colOff>
      <xdr:row>20</xdr:row>
      <xdr:rowOff>186983</xdr:rowOff>
    </xdr:from>
    <xdr:to>
      <xdr:col>12</xdr:col>
      <xdr:colOff>411480</xdr:colOff>
      <xdr:row>21</xdr:row>
      <xdr:rowOff>49530</xdr:rowOff>
    </xdr:to>
    <xdr:sp macro="" textlink="">
      <xdr:nvSpPr>
        <xdr:cNvPr id="83" name="Oval 82">
          <a:extLst>
            <a:ext uri="{FF2B5EF4-FFF2-40B4-BE49-F238E27FC236}">
              <a16:creationId xmlns:a16="http://schemas.microsoft.com/office/drawing/2014/main" id="{3C1C1D21-90A5-4869-8EDC-F1C32D209602}"/>
            </a:ext>
          </a:extLst>
        </xdr:cNvPr>
        <xdr:cNvSpPr/>
      </xdr:nvSpPr>
      <xdr:spPr>
        <a:xfrm>
          <a:off x="8703505" y="4016033"/>
          <a:ext cx="51875" cy="53047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245305</xdr:colOff>
      <xdr:row>20</xdr:row>
      <xdr:rowOff>175553</xdr:rowOff>
    </xdr:from>
    <xdr:to>
      <xdr:col>13</xdr:col>
      <xdr:colOff>297180</xdr:colOff>
      <xdr:row>21</xdr:row>
      <xdr:rowOff>38100</xdr:rowOff>
    </xdr:to>
    <xdr:sp macro="" textlink="">
      <xdr:nvSpPr>
        <xdr:cNvPr id="84" name="Oval 83">
          <a:extLst>
            <a:ext uri="{FF2B5EF4-FFF2-40B4-BE49-F238E27FC236}">
              <a16:creationId xmlns:a16="http://schemas.microsoft.com/office/drawing/2014/main" id="{161DCE7B-FAB0-4AD1-990D-1C2971C44188}"/>
            </a:ext>
          </a:extLst>
        </xdr:cNvPr>
        <xdr:cNvSpPr/>
      </xdr:nvSpPr>
      <xdr:spPr>
        <a:xfrm>
          <a:off x="9284530" y="4004603"/>
          <a:ext cx="51875" cy="53047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428185</xdr:colOff>
      <xdr:row>21</xdr:row>
      <xdr:rowOff>38393</xdr:rowOff>
    </xdr:from>
    <xdr:to>
      <xdr:col>13</xdr:col>
      <xdr:colOff>480060</xdr:colOff>
      <xdr:row>21</xdr:row>
      <xdr:rowOff>91440</xdr:rowOff>
    </xdr:to>
    <xdr:sp macro="" textlink="">
      <xdr:nvSpPr>
        <xdr:cNvPr id="85" name="Oval 84">
          <a:extLst>
            <a:ext uri="{FF2B5EF4-FFF2-40B4-BE49-F238E27FC236}">
              <a16:creationId xmlns:a16="http://schemas.microsoft.com/office/drawing/2014/main" id="{4FF777E1-F178-4D6B-B842-40BD00A3451C}"/>
            </a:ext>
          </a:extLst>
        </xdr:cNvPr>
        <xdr:cNvSpPr/>
      </xdr:nvSpPr>
      <xdr:spPr>
        <a:xfrm>
          <a:off x="9467410" y="4057943"/>
          <a:ext cx="51875" cy="53047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81475</xdr:colOff>
      <xdr:row>20</xdr:row>
      <xdr:rowOff>175553</xdr:rowOff>
    </xdr:from>
    <xdr:to>
      <xdr:col>14</xdr:col>
      <xdr:colOff>133350</xdr:colOff>
      <xdr:row>21</xdr:row>
      <xdr:rowOff>38100</xdr:rowOff>
    </xdr:to>
    <xdr:sp macro="" textlink="">
      <xdr:nvSpPr>
        <xdr:cNvPr id="86" name="Oval 85">
          <a:extLst>
            <a:ext uri="{FF2B5EF4-FFF2-40B4-BE49-F238E27FC236}">
              <a16:creationId xmlns:a16="http://schemas.microsoft.com/office/drawing/2014/main" id="{04088212-A7E4-4833-996D-AFBAB9E72B61}"/>
            </a:ext>
          </a:extLst>
        </xdr:cNvPr>
        <xdr:cNvSpPr/>
      </xdr:nvSpPr>
      <xdr:spPr>
        <a:xfrm>
          <a:off x="9816025" y="4004603"/>
          <a:ext cx="51875" cy="53047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412945</xdr:colOff>
      <xdr:row>20</xdr:row>
      <xdr:rowOff>57443</xdr:rowOff>
    </xdr:from>
    <xdr:to>
      <xdr:col>14</xdr:col>
      <xdr:colOff>464820</xdr:colOff>
      <xdr:row>20</xdr:row>
      <xdr:rowOff>110490</xdr:rowOff>
    </xdr:to>
    <xdr:sp macro="" textlink="">
      <xdr:nvSpPr>
        <xdr:cNvPr id="87" name="Oval 86">
          <a:extLst>
            <a:ext uri="{FF2B5EF4-FFF2-40B4-BE49-F238E27FC236}">
              <a16:creationId xmlns:a16="http://schemas.microsoft.com/office/drawing/2014/main" id="{654679F0-68E2-4AF7-B0C3-DF59AE5059A4}"/>
            </a:ext>
          </a:extLst>
        </xdr:cNvPr>
        <xdr:cNvSpPr/>
      </xdr:nvSpPr>
      <xdr:spPr>
        <a:xfrm>
          <a:off x="10147495" y="3886493"/>
          <a:ext cx="51875" cy="53047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336745</xdr:colOff>
      <xdr:row>21</xdr:row>
      <xdr:rowOff>42203</xdr:rowOff>
    </xdr:from>
    <xdr:to>
      <xdr:col>14</xdr:col>
      <xdr:colOff>388620</xdr:colOff>
      <xdr:row>21</xdr:row>
      <xdr:rowOff>95250</xdr:rowOff>
    </xdr:to>
    <xdr:sp macro="" textlink="">
      <xdr:nvSpPr>
        <xdr:cNvPr id="88" name="Oval 87">
          <a:extLst>
            <a:ext uri="{FF2B5EF4-FFF2-40B4-BE49-F238E27FC236}">
              <a16:creationId xmlns:a16="http://schemas.microsoft.com/office/drawing/2014/main" id="{0BFB1C77-59C3-4225-A254-27FD4D74484E}"/>
            </a:ext>
          </a:extLst>
        </xdr:cNvPr>
        <xdr:cNvSpPr/>
      </xdr:nvSpPr>
      <xdr:spPr>
        <a:xfrm>
          <a:off x="10071295" y="4061753"/>
          <a:ext cx="51875" cy="53047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1465</xdr:colOff>
      <xdr:row>20</xdr:row>
      <xdr:rowOff>186983</xdr:rowOff>
    </xdr:from>
    <xdr:to>
      <xdr:col>12</xdr:col>
      <xdr:colOff>53340</xdr:colOff>
      <xdr:row>21</xdr:row>
      <xdr:rowOff>49530</xdr:rowOff>
    </xdr:to>
    <xdr:sp macro="" textlink="">
      <xdr:nvSpPr>
        <xdr:cNvPr id="89" name="Oval 88">
          <a:extLst>
            <a:ext uri="{FF2B5EF4-FFF2-40B4-BE49-F238E27FC236}">
              <a16:creationId xmlns:a16="http://schemas.microsoft.com/office/drawing/2014/main" id="{844F9D63-7E47-414D-B6C7-4BD514FF491D}"/>
            </a:ext>
          </a:extLst>
        </xdr:cNvPr>
        <xdr:cNvSpPr/>
      </xdr:nvSpPr>
      <xdr:spPr>
        <a:xfrm>
          <a:off x="8345365" y="4016033"/>
          <a:ext cx="51875" cy="53047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127195</xdr:colOff>
      <xdr:row>19</xdr:row>
      <xdr:rowOff>156503</xdr:rowOff>
    </xdr:from>
    <xdr:to>
      <xdr:col>11</xdr:col>
      <xdr:colOff>179070</xdr:colOff>
      <xdr:row>20</xdr:row>
      <xdr:rowOff>19050</xdr:rowOff>
    </xdr:to>
    <xdr:sp macro="" textlink="">
      <xdr:nvSpPr>
        <xdr:cNvPr id="90" name="Oval 89">
          <a:extLst>
            <a:ext uri="{FF2B5EF4-FFF2-40B4-BE49-F238E27FC236}">
              <a16:creationId xmlns:a16="http://schemas.microsoft.com/office/drawing/2014/main" id="{A2C55FCE-12DD-4971-84F0-D468398314DE}"/>
            </a:ext>
          </a:extLst>
        </xdr:cNvPr>
        <xdr:cNvSpPr/>
      </xdr:nvSpPr>
      <xdr:spPr>
        <a:xfrm>
          <a:off x="7775770" y="3795053"/>
          <a:ext cx="51875" cy="53047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244401</xdr:colOff>
      <xdr:row>18</xdr:row>
      <xdr:rowOff>99475</xdr:rowOff>
    </xdr:from>
    <xdr:to>
      <xdr:col>11</xdr:col>
      <xdr:colOff>290120</xdr:colOff>
      <xdr:row>18</xdr:row>
      <xdr:rowOff>145194</xdr:rowOff>
    </xdr:to>
    <xdr:sp macro="" textlink="">
      <xdr:nvSpPr>
        <xdr:cNvPr id="91" name="Oval 90">
          <a:extLst>
            <a:ext uri="{FF2B5EF4-FFF2-40B4-BE49-F238E27FC236}">
              <a16:creationId xmlns:a16="http://schemas.microsoft.com/office/drawing/2014/main" id="{96BE2092-E7AF-44DF-98A6-D86AD26AECFC}"/>
            </a:ext>
          </a:extLst>
        </xdr:cNvPr>
        <xdr:cNvSpPr/>
      </xdr:nvSpPr>
      <xdr:spPr>
        <a:xfrm>
          <a:off x="7892976" y="3547525"/>
          <a:ext cx="45719" cy="45719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520626</xdr:colOff>
      <xdr:row>18</xdr:row>
      <xdr:rowOff>61375</xdr:rowOff>
    </xdr:from>
    <xdr:to>
      <xdr:col>11</xdr:col>
      <xdr:colOff>566345</xdr:colOff>
      <xdr:row>18</xdr:row>
      <xdr:rowOff>107094</xdr:rowOff>
    </xdr:to>
    <xdr:sp macro="" textlink="">
      <xdr:nvSpPr>
        <xdr:cNvPr id="92" name="Oval 91">
          <a:extLst>
            <a:ext uri="{FF2B5EF4-FFF2-40B4-BE49-F238E27FC236}">
              <a16:creationId xmlns:a16="http://schemas.microsoft.com/office/drawing/2014/main" id="{A8604494-6B13-4259-8863-850CE5FFFB2B}"/>
            </a:ext>
          </a:extLst>
        </xdr:cNvPr>
        <xdr:cNvSpPr/>
      </xdr:nvSpPr>
      <xdr:spPr>
        <a:xfrm>
          <a:off x="8169201" y="3509425"/>
          <a:ext cx="45719" cy="45719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63426</xdr:colOff>
      <xdr:row>19</xdr:row>
      <xdr:rowOff>23275</xdr:rowOff>
    </xdr:from>
    <xdr:to>
      <xdr:col>12</xdr:col>
      <xdr:colOff>109145</xdr:colOff>
      <xdr:row>19</xdr:row>
      <xdr:rowOff>68994</xdr:rowOff>
    </xdr:to>
    <xdr:sp macro="" textlink="">
      <xdr:nvSpPr>
        <xdr:cNvPr id="93" name="Oval 92">
          <a:extLst>
            <a:ext uri="{FF2B5EF4-FFF2-40B4-BE49-F238E27FC236}">
              <a16:creationId xmlns:a16="http://schemas.microsoft.com/office/drawing/2014/main" id="{B52D70AD-B7CC-4F87-A607-CEAC52056623}"/>
            </a:ext>
          </a:extLst>
        </xdr:cNvPr>
        <xdr:cNvSpPr/>
      </xdr:nvSpPr>
      <xdr:spPr>
        <a:xfrm>
          <a:off x="8407326" y="3661825"/>
          <a:ext cx="45719" cy="45719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215826</xdr:colOff>
      <xdr:row>19</xdr:row>
      <xdr:rowOff>175675</xdr:rowOff>
    </xdr:from>
    <xdr:to>
      <xdr:col>12</xdr:col>
      <xdr:colOff>261545</xdr:colOff>
      <xdr:row>20</xdr:row>
      <xdr:rowOff>30894</xdr:rowOff>
    </xdr:to>
    <xdr:sp macro="" textlink="">
      <xdr:nvSpPr>
        <xdr:cNvPr id="94" name="Oval 93">
          <a:extLst>
            <a:ext uri="{FF2B5EF4-FFF2-40B4-BE49-F238E27FC236}">
              <a16:creationId xmlns:a16="http://schemas.microsoft.com/office/drawing/2014/main" id="{FF618C84-A00F-4306-98A3-8BA8CE307152}"/>
            </a:ext>
          </a:extLst>
        </xdr:cNvPr>
        <xdr:cNvSpPr/>
      </xdr:nvSpPr>
      <xdr:spPr>
        <a:xfrm>
          <a:off x="8559726" y="3814225"/>
          <a:ext cx="45719" cy="45719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365295</xdr:colOff>
      <xdr:row>19</xdr:row>
      <xdr:rowOff>64306</xdr:rowOff>
    </xdr:from>
    <xdr:to>
      <xdr:col>12</xdr:col>
      <xdr:colOff>411014</xdr:colOff>
      <xdr:row>19</xdr:row>
      <xdr:rowOff>110025</xdr:rowOff>
    </xdr:to>
    <xdr:sp macro="" textlink="">
      <xdr:nvSpPr>
        <xdr:cNvPr id="95" name="Oval 94">
          <a:extLst>
            <a:ext uri="{FF2B5EF4-FFF2-40B4-BE49-F238E27FC236}">
              <a16:creationId xmlns:a16="http://schemas.microsoft.com/office/drawing/2014/main" id="{E221EEDD-46E7-403C-A851-1D997A9193D8}"/>
            </a:ext>
          </a:extLst>
        </xdr:cNvPr>
        <xdr:cNvSpPr/>
      </xdr:nvSpPr>
      <xdr:spPr>
        <a:xfrm>
          <a:off x="8709195" y="3702856"/>
          <a:ext cx="45719" cy="45719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183588</xdr:colOff>
      <xdr:row>17</xdr:row>
      <xdr:rowOff>14483</xdr:rowOff>
    </xdr:from>
    <xdr:to>
      <xdr:col>11</xdr:col>
      <xdr:colOff>229307</xdr:colOff>
      <xdr:row>17</xdr:row>
      <xdr:rowOff>60202</xdr:rowOff>
    </xdr:to>
    <xdr:sp macro="" textlink="">
      <xdr:nvSpPr>
        <xdr:cNvPr id="96" name="Oval 95">
          <a:extLst>
            <a:ext uri="{FF2B5EF4-FFF2-40B4-BE49-F238E27FC236}">
              <a16:creationId xmlns:a16="http://schemas.microsoft.com/office/drawing/2014/main" id="{19EA07F8-AC0E-4BEB-BF5C-DA20E9209E85}"/>
            </a:ext>
          </a:extLst>
        </xdr:cNvPr>
        <xdr:cNvSpPr/>
      </xdr:nvSpPr>
      <xdr:spPr>
        <a:xfrm>
          <a:off x="7832163" y="3272033"/>
          <a:ext cx="45719" cy="45719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253926</xdr:colOff>
      <xdr:row>17</xdr:row>
      <xdr:rowOff>134645</xdr:rowOff>
    </xdr:from>
    <xdr:to>
      <xdr:col>12</xdr:col>
      <xdr:colOff>299645</xdr:colOff>
      <xdr:row>17</xdr:row>
      <xdr:rowOff>180364</xdr:rowOff>
    </xdr:to>
    <xdr:sp macro="" textlink="">
      <xdr:nvSpPr>
        <xdr:cNvPr id="97" name="Oval 96">
          <a:extLst>
            <a:ext uri="{FF2B5EF4-FFF2-40B4-BE49-F238E27FC236}">
              <a16:creationId xmlns:a16="http://schemas.microsoft.com/office/drawing/2014/main" id="{98A65E4E-3654-4A91-9166-E058669C352E}"/>
            </a:ext>
          </a:extLst>
        </xdr:cNvPr>
        <xdr:cNvSpPr/>
      </xdr:nvSpPr>
      <xdr:spPr>
        <a:xfrm>
          <a:off x="8597826" y="3392195"/>
          <a:ext cx="45719" cy="45719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567518</xdr:colOff>
      <xdr:row>19</xdr:row>
      <xdr:rowOff>58444</xdr:rowOff>
    </xdr:from>
    <xdr:to>
      <xdr:col>13</xdr:col>
      <xdr:colOff>3637</xdr:colOff>
      <xdr:row>19</xdr:row>
      <xdr:rowOff>104163</xdr:rowOff>
    </xdr:to>
    <xdr:sp macro="" textlink="">
      <xdr:nvSpPr>
        <xdr:cNvPr id="98" name="Oval 97">
          <a:extLst>
            <a:ext uri="{FF2B5EF4-FFF2-40B4-BE49-F238E27FC236}">
              <a16:creationId xmlns:a16="http://schemas.microsoft.com/office/drawing/2014/main" id="{EE7A259E-7E48-4AFC-886D-A19CF4A2FC6C}"/>
            </a:ext>
          </a:extLst>
        </xdr:cNvPr>
        <xdr:cNvSpPr/>
      </xdr:nvSpPr>
      <xdr:spPr>
        <a:xfrm>
          <a:off x="8911418" y="3696994"/>
          <a:ext cx="131444" cy="45719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227549</xdr:colOff>
      <xdr:row>17</xdr:row>
      <xdr:rowOff>175676</xdr:rowOff>
    </xdr:from>
    <xdr:to>
      <xdr:col>13</xdr:col>
      <xdr:colOff>273268</xdr:colOff>
      <xdr:row>18</xdr:row>
      <xdr:rowOff>30895</xdr:rowOff>
    </xdr:to>
    <xdr:sp macro="" textlink="">
      <xdr:nvSpPr>
        <xdr:cNvPr id="99" name="Oval 98">
          <a:extLst>
            <a:ext uri="{FF2B5EF4-FFF2-40B4-BE49-F238E27FC236}">
              <a16:creationId xmlns:a16="http://schemas.microsoft.com/office/drawing/2014/main" id="{63A4E2D1-F6C2-4717-99D1-C7A2FF11F847}"/>
            </a:ext>
          </a:extLst>
        </xdr:cNvPr>
        <xdr:cNvSpPr/>
      </xdr:nvSpPr>
      <xdr:spPr>
        <a:xfrm>
          <a:off x="9266774" y="3433226"/>
          <a:ext cx="45719" cy="45719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602687</xdr:colOff>
      <xdr:row>17</xdr:row>
      <xdr:rowOff>58445</xdr:rowOff>
    </xdr:from>
    <xdr:to>
      <xdr:col>13</xdr:col>
      <xdr:colOff>38806</xdr:colOff>
      <xdr:row>17</xdr:row>
      <xdr:rowOff>104164</xdr:rowOff>
    </xdr:to>
    <xdr:sp macro="" textlink="">
      <xdr:nvSpPr>
        <xdr:cNvPr id="100" name="Oval 99">
          <a:extLst>
            <a:ext uri="{FF2B5EF4-FFF2-40B4-BE49-F238E27FC236}">
              <a16:creationId xmlns:a16="http://schemas.microsoft.com/office/drawing/2014/main" id="{C310A624-AE11-421A-8ED9-6ED690DF80AC}"/>
            </a:ext>
          </a:extLst>
        </xdr:cNvPr>
        <xdr:cNvSpPr/>
      </xdr:nvSpPr>
      <xdr:spPr>
        <a:xfrm>
          <a:off x="8946587" y="3315995"/>
          <a:ext cx="131444" cy="45719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207033</xdr:colOff>
      <xdr:row>19</xdr:row>
      <xdr:rowOff>78960</xdr:rowOff>
    </xdr:from>
    <xdr:to>
      <xdr:col>13</xdr:col>
      <xdr:colOff>252752</xdr:colOff>
      <xdr:row>19</xdr:row>
      <xdr:rowOff>124679</xdr:rowOff>
    </xdr:to>
    <xdr:sp macro="" textlink="">
      <xdr:nvSpPr>
        <xdr:cNvPr id="101" name="Oval 100">
          <a:extLst>
            <a:ext uri="{FF2B5EF4-FFF2-40B4-BE49-F238E27FC236}">
              <a16:creationId xmlns:a16="http://schemas.microsoft.com/office/drawing/2014/main" id="{6405384B-A128-4B75-BAED-217EFAC268FB}"/>
            </a:ext>
          </a:extLst>
        </xdr:cNvPr>
        <xdr:cNvSpPr/>
      </xdr:nvSpPr>
      <xdr:spPr>
        <a:xfrm>
          <a:off x="9246258" y="3717510"/>
          <a:ext cx="45719" cy="45719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494249</xdr:colOff>
      <xdr:row>18</xdr:row>
      <xdr:rowOff>46722</xdr:rowOff>
    </xdr:from>
    <xdr:to>
      <xdr:col>13</xdr:col>
      <xdr:colOff>539968</xdr:colOff>
      <xdr:row>18</xdr:row>
      <xdr:rowOff>92441</xdr:rowOff>
    </xdr:to>
    <xdr:sp macro="" textlink="">
      <xdr:nvSpPr>
        <xdr:cNvPr id="102" name="Oval 101">
          <a:extLst>
            <a:ext uri="{FF2B5EF4-FFF2-40B4-BE49-F238E27FC236}">
              <a16:creationId xmlns:a16="http://schemas.microsoft.com/office/drawing/2014/main" id="{E85EA676-CB85-46D2-B303-8F706ACCE29B}"/>
            </a:ext>
          </a:extLst>
        </xdr:cNvPr>
        <xdr:cNvSpPr/>
      </xdr:nvSpPr>
      <xdr:spPr>
        <a:xfrm>
          <a:off x="9533474" y="3494772"/>
          <a:ext cx="45719" cy="45719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450287</xdr:colOff>
      <xdr:row>19</xdr:row>
      <xdr:rowOff>134645</xdr:rowOff>
    </xdr:from>
    <xdr:to>
      <xdr:col>13</xdr:col>
      <xdr:colOff>496006</xdr:colOff>
      <xdr:row>19</xdr:row>
      <xdr:rowOff>180364</xdr:rowOff>
    </xdr:to>
    <xdr:sp macro="" textlink="">
      <xdr:nvSpPr>
        <xdr:cNvPr id="103" name="Oval 102">
          <a:extLst>
            <a:ext uri="{FF2B5EF4-FFF2-40B4-BE49-F238E27FC236}">
              <a16:creationId xmlns:a16="http://schemas.microsoft.com/office/drawing/2014/main" id="{A8A8DDA4-5B15-4D8E-92A6-E33AB382B8FD}"/>
            </a:ext>
          </a:extLst>
        </xdr:cNvPr>
        <xdr:cNvSpPr/>
      </xdr:nvSpPr>
      <xdr:spPr>
        <a:xfrm>
          <a:off x="9489512" y="3773195"/>
          <a:ext cx="45719" cy="45719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157210</xdr:colOff>
      <xdr:row>18</xdr:row>
      <xdr:rowOff>40860</xdr:rowOff>
    </xdr:from>
    <xdr:to>
      <xdr:col>14</xdr:col>
      <xdr:colOff>202929</xdr:colOff>
      <xdr:row>18</xdr:row>
      <xdr:rowOff>86579</xdr:rowOff>
    </xdr:to>
    <xdr:sp macro="" textlink="">
      <xdr:nvSpPr>
        <xdr:cNvPr id="104" name="Oval 103">
          <a:extLst>
            <a:ext uri="{FF2B5EF4-FFF2-40B4-BE49-F238E27FC236}">
              <a16:creationId xmlns:a16="http://schemas.microsoft.com/office/drawing/2014/main" id="{9550E354-B17B-4F67-A932-E98DB8DEC356}"/>
            </a:ext>
          </a:extLst>
        </xdr:cNvPr>
        <xdr:cNvSpPr/>
      </xdr:nvSpPr>
      <xdr:spPr>
        <a:xfrm>
          <a:off x="9891760" y="3488910"/>
          <a:ext cx="45719" cy="45719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353571</xdr:colOff>
      <xdr:row>19</xdr:row>
      <xdr:rowOff>5691</xdr:rowOff>
    </xdr:from>
    <xdr:to>
      <xdr:col>14</xdr:col>
      <xdr:colOff>399290</xdr:colOff>
      <xdr:row>19</xdr:row>
      <xdr:rowOff>51410</xdr:rowOff>
    </xdr:to>
    <xdr:sp macro="" textlink="">
      <xdr:nvSpPr>
        <xdr:cNvPr id="105" name="Oval 104">
          <a:extLst>
            <a:ext uri="{FF2B5EF4-FFF2-40B4-BE49-F238E27FC236}">
              <a16:creationId xmlns:a16="http://schemas.microsoft.com/office/drawing/2014/main" id="{C0672BAD-0FCD-45DA-9839-CDD756398433}"/>
            </a:ext>
          </a:extLst>
        </xdr:cNvPr>
        <xdr:cNvSpPr/>
      </xdr:nvSpPr>
      <xdr:spPr>
        <a:xfrm>
          <a:off x="10088121" y="3644241"/>
          <a:ext cx="45719" cy="45719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576309</xdr:colOff>
      <xdr:row>17</xdr:row>
      <xdr:rowOff>26207</xdr:rowOff>
    </xdr:from>
    <xdr:to>
      <xdr:col>14</xdr:col>
      <xdr:colOff>12428</xdr:colOff>
      <xdr:row>17</xdr:row>
      <xdr:rowOff>71926</xdr:rowOff>
    </xdr:to>
    <xdr:sp macro="" textlink="">
      <xdr:nvSpPr>
        <xdr:cNvPr id="106" name="Oval 105">
          <a:extLst>
            <a:ext uri="{FF2B5EF4-FFF2-40B4-BE49-F238E27FC236}">
              <a16:creationId xmlns:a16="http://schemas.microsoft.com/office/drawing/2014/main" id="{E86FFE54-E0C7-4CE5-826A-F235325DC7CC}"/>
            </a:ext>
          </a:extLst>
        </xdr:cNvPr>
        <xdr:cNvSpPr/>
      </xdr:nvSpPr>
      <xdr:spPr>
        <a:xfrm>
          <a:off x="9615534" y="3283757"/>
          <a:ext cx="131444" cy="45719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377017</xdr:colOff>
      <xdr:row>17</xdr:row>
      <xdr:rowOff>40861</xdr:rowOff>
    </xdr:from>
    <xdr:to>
      <xdr:col>14</xdr:col>
      <xdr:colOff>422736</xdr:colOff>
      <xdr:row>17</xdr:row>
      <xdr:rowOff>86580</xdr:rowOff>
    </xdr:to>
    <xdr:sp macro="" textlink="">
      <xdr:nvSpPr>
        <xdr:cNvPr id="107" name="Oval 106">
          <a:extLst>
            <a:ext uri="{FF2B5EF4-FFF2-40B4-BE49-F238E27FC236}">
              <a16:creationId xmlns:a16="http://schemas.microsoft.com/office/drawing/2014/main" id="{C555071E-DAEE-4432-A052-E12F67035C77}"/>
            </a:ext>
          </a:extLst>
        </xdr:cNvPr>
        <xdr:cNvSpPr/>
      </xdr:nvSpPr>
      <xdr:spPr>
        <a:xfrm>
          <a:off x="10111567" y="3298411"/>
          <a:ext cx="45719" cy="45719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15040</xdr:colOff>
      <xdr:row>14</xdr:row>
      <xdr:rowOff>13607</xdr:rowOff>
    </xdr:from>
    <xdr:to>
      <xdr:col>25</xdr:col>
      <xdr:colOff>598714</xdr:colOff>
      <xdr:row>23</xdr:row>
      <xdr:rowOff>0</xdr:rowOff>
    </xdr:to>
    <xdr:sp macro="" textlink="">
      <xdr:nvSpPr>
        <xdr:cNvPr id="108" name="Rectangle 107">
          <a:extLst>
            <a:ext uri="{FF2B5EF4-FFF2-40B4-BE49-F238E27FC236}">
              <a16:creationId xmlns:a16="http://schemas.microsoft.com/office/drawing/2014/main" id="{B6CD854B-099B-4516-A3A3-44627F7FC465}"/>
            </a:ext>
          </a:extLst>
        </xdr:cNvPr>
        <xdr:cNvSpPr/>
      </xdr:nvSpPr>
      <xdr:spPr>
        <a:xfrm>
          <a:off x="15312190" y="2699657"/>
          <a:ext cx="2669649" cy="1700893"/>
        </a:xfrm>
        <a:prstGeom prst="rect">
          <a:avLst/>
        </a:prstGeom>
        <a:gradFill flip="none" rotWithShape="1">
          <a:gsLst>
            <a:gs pos="0">
              <a:schemeClr val="bg1">
                <a:lumMod val="75000"/>
                <a:shade val="30000"/>
                <a:satMod val="115000"/>
              </a:schemeClr>
            </a:gs>
            <a:gs pos="50000">
              <a:schemeClr val="bg1">
                <a:lumMod val="75000"/>
                <a:shade val="67500"/>
                <a:satMod val="115000"/>
              </a:schemeClr>
            </a:gs>
            <a:gs pos="100000">
              <a:schemeClr val="bg1">
                <a:lumMod val="75000"/>
                <a:shade val="100000"/>
                <a:satMod val="115000"/>
              </a:schemeClr>
            </a:gs>
          </a:gsLst>
          <a:lin ang="16200000" scaled="1"/>
          <a:tileRect/>
        </a:gra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30080</xdr:colOff>
      <xdr:row>12</xdr:row>
      <xdr:rowOff>5443</xdr:rowOff>
    </xdr:from>
    <xdr:to>
      <xdr:col>25</xdr:col>
      <xdr:colOff>582386</xdr:colOff>
      <xdr:row>14</xdr:row>
      <xdr:rowOff>6661</xdr:rowOff>
    </xdr:to>
    <xdr:sp macro="" textlink="">
      <xdr:nvSpPr>
        <xdr:cNvPr id="109" name="Isosceles Triangle 108">
          <a:extLst>
            <a:ext uri="{FF2B5EF4-FFF2-40B4-BE49-F238E27FC236}">
              <a16:creationId xmlns:a16="http://schemas.microsoft.com/office/drawing/2014/main" id="{1A35D805-DAC0-44D6-AA2F-AFD9F35B8E06}"/>
            </a:ext>
          </a:extLst>
        </xdr:cNvPr>
        <xdr:cNvSpPr/>
      </xdr:nvSpPr>
      <xdr:spPr>
        <a:xfrm>
          <a:off x="15327230" y="2329543"/>
          <a:ext cx="2638281" cy="363168"/>
        </a:xfrm>
        <a:prstGeom prst="triangle">
          <a:avLst/>
        </a:prstGeom>
        <a:gradFill flip="none" rotWithShape="1">
          <a:gsLst>
            <a:gs pos="0">
              <a:schemeClr val="accent3">
                <a:shade val="30000"/>
                <a:satMod val="115000"/>
              </a:schemeClr>
            </a:gs>
            <a:gs pos="50000">
              <a:schemeClr val="accent3">
                <a:shade val="67500"/>
                <a:satMod val="115000"/>
              </a:schemeClr>
            </a:gs>
            <a:gs pos="100000">
              <a:schemeClr val="accent3">
                <a:shade val="100000"/>
                <a:satMod val="115000"/>
              </a:schemeClr>
            </a:gs>
          </a:gsLst>
          <a:lin ang="5400000" scaled="1"/>
          <a:tileRect/>
        </a:gradFill>
        <a:ln>
          <a:solidFill>
            <a:schemeClr val="tx1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15638</xdr:colOff>
      <xdr:row>16</xdr:row>
      <xdr:rowOff>0</xdr:rowOff>
    </xdr:from>
    <xdr:to>
      <xdr:col>25</xdr:col>
      <xdr:colOff>599378</xdr:colOff>
      <xdr:row>22</xdr:row>
      <xdr:rowOff>188429</xdr:rowOff>
    </xdr:to>
    <xdr:sp macro="" textlink="">
      <xdr:nvSpPr>
        <xdr:cNvPr id="110" name="Rectangle 109">
          <a:extLst>
            <a:ext uri="{FF2B5EF4-FFF2-40B4-BE49-F238E27FC236}">
              <a16:creationId xmlns:a16="http://schemas.microsoft.com/office/drawing/2014/main" id="{CB71BFCB-06B6-4F1A-BFDE-6866213874F9}"/>
            </a:ext>
          </a:extLst>
        </xdr:cNvPr>
        <xdr:cNvSpPr/>
      </xdr:nvSpPr>
      <xdr:spPr>
        <a:xfrm>
          <a:off x="15312788" y="3067050"/>
          <a:ext cx="2669715" cy="133142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16328</xdr:colOff>
      <xdr:row>22</xdr:row>
      <xdr:rowOff>25065</xdr:rowOff>
    </xdr:from>
    <xdr:to>
      <xdr:col>25</xdr:col>
      <xdr:colOff>596565</xdr:colOff>
      <xdr:row>22</xdr:row>
      <xdr:rowOff>80210</xdr:rowOff>
    </xdr:to>
    <xdr:sp macro="" textlink="">
      <xdr:nvSpPr>
        <xdr:cNvPr id="111" name="Rectangle 110">
          <a:extLst>
            <a:ext uri="{FF2B5EF4-FFF2-40B4-BE49-F238E27FC236}">
              <a16:creationId xmlns:a16="http://schemas.microsoft.com/office/drawing/2014/main" id="{5253B2B4-FCD5-4866-B87F-67DC65EFB505}"/>
            </a:ext>
          </a:extLst>
        </xdr:cNvPr>
        <xdr:cNvSpPr/>
      </xdr:nvSpPr>
      <xdr:spPr>
        <a:xfrm>
          <a:off x="15313478" y="4235115"/>
          <a:ext cx="2666212" cy="55145"/>
        </a:xfrm>
        <a:prstGeom prst="rect">
          <a:avLst/>
        </a:prstGeom>
        <a:ln>
          <a:solidFill>
            <a:schemeClr val="tx1"/>
          </a:solidFill>
        </a:ln>
        <a:effectLst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85700</xdr:colOff>
      <xdr:row>21</xdr:row>
      <xdr:rowOff>132554</xdr:rowOff>
    </xdr:from>
    <xdr:to>
      <xdr:col>25</xdr:col>
      <xdr:colOff>518316</xdr:colOff>
      <xdr:row>22</xdr:row>
      <xdr:rowOff>26757</xdr:rowOff>
    </xdr:to>
    <xdr:grpSp>
      <xdr:nvGrpSpPr>
        <xdr:cNvPr id="112" name="Group 111">
          <a:extLst>
            <a:ext uri="{FF2B5EF4-FFF2-40B4-BE49-F238E27FC236}">
              <a16:creationId xmlns:a16="http://schemas.microsoft.com/office/drawing/2014/main" id="{D5D11821-A3B2-4DD4-95AE-C79048A32BCE}"/>
            </a:ext>
          </a:extLst>
        </xdr:cNvPr>
        <xdr:cNvGrpSpPr/>
      </xdr:nvGrpSpPr>
      <xdr:grpSpPr>
        <a:xfrm>
          <a:off x="16550343" y="4173875"/>
          <a:ext cx="2677794" cy="84703"/>
          <a:chOff x="8043771" y="4736751"/>
          <a:chExt cx="2259806" cy="84703"/>
        </a:xfrm>
      </xdr:grpSpPr>
      <xdr:grpSp>
        <xdr:nvGrpSpPr>
          <xdr:cNvPr id="113" name="Group 112">
            <a:extLst>
              <a:ext uri="{FF2B5EF4-FFF2-40B4-BE49-F238E27FC236}">
                <a16:creationId xmlns:a16="http://schemas.microsoft.com/office/drawing/2014/main" id="{3AD1D607-A80B-4F50-9EEB-32E6F0ED5482}"/>
              </a:ext>
            </a:extLst>
          </xdr:cNvPr>
          <xdr:cNvGrpSpPr/>
        </xdr:nvGrpSpPr>
        <xdr:grpSpPr>
          <a:xfrm>
            <a:off x="8043771" y="4736751"/>
            <a:ext cx="99235" cy="79464"/>
            <a:chOff x="7984901" y="4168964"/>
            <a:chExt cx="98699" cy="79464"/>
          </a:xfrm>
        </xdr:grpSpPr>
        <xdr:cxnSp macro="">
          <xdr:nvCxnSpPr>
            <xdr:cNvPr id="144" name="Straight Connector 143">
              <a:extLst>
                <a:ext uri="{FF2B5EF4-FFF2-40B4-BE49-F238E27FC236}">
                  <a16:creationId xmlns:a16="http://schemas.microsoft.com/office/drawing/2014/main" id="{32D348F6-21AA-453A-84D8-A7525683632F}"/>
                </a:ext>
              </a:extLst>
            </xdr:cNvPr>
            <xdr:cNvCxnSpPr/>
          </xdr:nvCxnSpPr>
          <xdr:spPr>
            <a:xfrm>
              <a:off x="7984901" y="4169535"/>
              <a:ext cx="47873" cy="7548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5" name="Straight Connector 144">
              <a:extLst>
                <a:ext uri="{FF2B5EF4-FFF2-40B4-BE49-F238E27FC236}">
                  <a16:creationId xmlns:a16="http://schemas.microsoft.com/office/drawing/2014/main" id="{06C84989-BA57-43FC-BED3-32C5E1B58D03}"/>
                </a:ext>
              </a:extLst>
            </xdr:cNvPr>
            <xdr:cNvCxnSpPr/>
          </xdr:nvCxnSpPr>
          <xdr:spPr>
            <a:xfrm flipH="1">
              <a:off x="8028135" y="4168964"/>
              <a:ext cx="55465" cy="79464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14" name="Group 113">
            <a:extLst>
              <a:ext uri="{FF2B5EF4-FFF2-40B4-BE49-F238E27FC236}">
                <a16:creationId xmlns:a16="http://schemas.microsoft.com/office/drawing/2014/main" id="{882B16C8-EC56-47C1-B7D9-88E3BBE30997}"/>
              </a:ext>
            </a:extLst>
          </xdr:cNvPr>
          <xdr:cNvGrpSpPr/>
        </xdr:nvGrpSpPr>
        <xdr:grpSpPr>
          <a:xfrm>
            <a:off x="8258022" y="4738235"/>
            <a:ext cx="99235" cy="79464"/>
            <a:chOff x="7984901" y="4168964"/>
            <a:chExt cx="98699" cy="79464"/>
          </a:xfrm>
        </xdr:grpSpPr>
        <xdr:cxnSp macro="">
          <xdr:nvCxnSpPr>
            <xdr:cNvPr id="142" name="Straight Connector 141">
              <a:extLst>
                <a:ext uri="{FF2B5EF4-FFF2-40B4-BE49-F238E27FC236}">
                  <a16:creationId xmlns:a16="http://schemas.microsoft.com/office/drawing/2014/main" id="{D71584F8-159B-49B7-B072-DE829FB7090D}"/>
                </a:ext>
              </a:extLst>
            </xdr:cNvPr>
            <xdr:cNvCxnSpPr/>
          </xdr:nvCxnSpPr>
          <xdr:spPr>
            <a:xfrm>
              <a:off x="7984901" y="4169535"/>
              <a:ext cx="47873" cy="7548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3" name="Straight Connector 142">
              <a:extLst>
                <a:ext uri="{FF2B5EF4-FFF2-40B4-BE49-F238E27FC236}">
                  <a16:creationId xmlns:a16="http://schemas.microsoft.com/office/drawing/2014/main" id="{2BC1B68D-2141-4464-8320-1BF1956C1A60}"/>
                </a:ext>
              </a:extLst>
            </xdr:cNvPr>
            <xdr:cNvCxnSpPr/>
          </xdr:nvCxnSpPr>
          <xdr:spPr>
            <a:xfrm flipH="1">
              <a:off x="8028135" y="4168964"/>
              <a:ext cx="55465" cy="79464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15" name="Group 114">
            <a:extLst>
              <a:ext uri="{FF2B5EF4-FFF2-40B4-BE49-F238E27FC236}">
                <a16:creationId xmlns:a16="http://schemas.microsoft.com/office/drawing/2014/main" id="{39380E56-7B7E-498D-9CA2-490393BB2E19}"/>
              </a:ext>
            </a:extLst>
          </xdr:cNvPr>
          <xdr:cNvGrpSpPr/>
        </xdr:nvGrpSpPr>
        <xdr:grpSpPr>
          <a:xfrm>
            <a:off x="8474747" y="4737245"/>
            <a:ext cx="99688" cy="79464"/>
            <a:chOff x="7984901" y="4168964"/>
            <a:chExt cx="98699" cy="79464"/>
          </a:xfrm>
        </xdr:grpSpPr>
        <xdr:cxnSp macro="">
          <xdr:nvCxnSpPr>
            <xdr:cNvPr id="140" name="Straight Connector 139">
              <a:extLst>
                <a:ext uri="{FF2B5EF4-FFF2-40B4-BE49-F238E27FC236}">
                  <a16:creationId xmlns:a16="http://schemas.microsoft.com/office/drawing/2014/main" id="{4334D6EB-7AC1-45D9-A3F4-23155FE8BB58}"/>
                </a:ext>
              </a:extLst>
            </xdr:cNvPr>
            <xdr:cNvCxnSpPr/>
          </xdr:nvCxnSpPr>
          <xdr:spPr>
            <a:xfrm>
              <a:off x="7984901" y="4169535"/>
              <a:ext cx="47873" cy="7548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1" name="Straight Connector 140">
              <a:extLst>
                <a:ext uri="{FF2B5EF4-FFF2-40B4-BE49-F238E27FC236}">
                  <a16:creationId xmlns:a16="http://schemas.microsoft.com/office/drawing/2014/main" id="{75E067FA-78D6-4C82-B9FA-2529D3EF03AF}"/>
                </a:ext>
              </a:extLst>
            </xdr:cNvPr>
            <xdr:cNvCxnSpPr/>
          </xdr:nvCxnSpPr>
          <xdr:spPr>
            <a:xfrm flipH="1">
              <a:off x="8028135" y="4168964"/>
              <a:ext cx="55465" cy="79464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16" name="Group 115">
            <a:extLst>
              <a:ext uri="{FF2B5EF4-FFF2-40B4-BE49-F238E27FC236}">
                <a16:creationId xmlns:a16="http://schemas.microsoft.com/office/drawing/2014/main" id="{DC536533-533F-47C1-B525-6B1D66DB476C}"/>
              </a:ext>
            </a:extLst>
          </xdr:cNvPr>
          <xdr:cNvGrpSpPr/>
        </xdr:nvGrpSpPr>
        <xdr:grpSpPr>
          <a:xfrm>
            <a:off x="8689861" y="4738897"/>
            <a:ext cx="99235" cy="79464"/>
            <a:chOff x="7984901" y="4168964"/>
            <a:chExt cx="98699" cy="79464"/>
          </a:xfrm>
        </xdr:grpSpPr>
        <xdr:cxnSp macro="">
          <xdr:nvCxnSpPr>
            <xdr:cNvPr id="138" name="Straight Connector 137">
              <a:extLst>
                <a:ext uri="{FF2B5EF4-FFF2-40B4-BE49-F238E27FC236}">
                  <a16:creationId xmlns:a16="http://schemas.microsoft.com/office/drawing/2014/main" id="{1A2FB97A-7DA9-4A4B-A6AE-BD2313172CA7}"/>
                </a:ext>
              </a:extLst>
            </xdr:cNvPr>
            <xdr:cNvCxnSpPr/>
          </xdr:nvCxnSpPr>
          <xdr:spPr>
            <a:xfrm>
              <a:off x="7984901" y="4169535"/>
              <a:ext cx="47873" cy="7548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39" name="Straight Connector 138">
              <a:extLst>
                <a:ext uri="{FF2B5EF4-FFF2-40B4-BE49-F238E27FC236}">
                  <a16:creationId xmlns:a16="http://schemas.microsoft.com/office/drawing/2014/main" id="{6E82E40A-D8EE-4EC6-B4ED-0EE001F10858}"/>
                </a:ext>
              </a:extLst>
            </xdr:cNvPr>
            <xdr:cNvCxnSpPr/>
          </xdr:nvCxnSpPr>
          <xdr:spPr>
            <a:xfrm flipH="1">
              <a:off x="8028135" y="4168964"/>
              <a:ext cx="55465" cy="79464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17" name="Group 116">
            <a:extLst>
              <a:ext uri="{FF2B5EF4-FFF2-40B4-BE49-F238E27FC236}">
                <a16:creationId xmlns:a16="http://schemas.microsoft.com/office/drawing/2014/main" id="{1CC3C581-B751-4B5E-A947-C21D00460F16}"/>
              </a:ext>
            </a:extLst>
          </xdr:cNvPr>
          <xdr:cNvGrpSpPr/>
        </xdr:nvGrpSpPr>
        <xdr:grpSpPr>
          <a:xfrm>
            <a:off x="8904112" y="4740381"/>
            <a:ext cx="99235" cy="79464"/>
            <a:chOff x="7984901" y="4168964"/>
            <a:chExt cx="98699" cy="79464"/>
          </a:xfrm>
        </xdr:grpSpPr>
        <xdr:cxnSp macro="">
          <xdr:nvCxnSpPr>
            <xdr:cNvPr id="136" name="Straight Connector 135">
              <a:extLst>
                <a:ext uri="{FF2B5EF4-FFF2-40B4-BE49-F238E27FC236}">
                  <a16:creationId xmlns:a16="http://schemas.microsoft.com/office/drawing/2014/main" id="{D79138B5-1A4D-4E88-B5E6-825D8979A071}"/>
                </a:ext>
              </a:extLst>
            </xdr:cNvPr>
            <xdr:cNvCxnSpPr/>
          </xdr:nvCxnSpPr>
          <xdr:spPr>
            <a:xfrm>
              <a:off x="7984901" y="4169535"/>
              <a:ext cx="47873" cy="7548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37" name="Straight Connector 136">
              <a:extLst>
                <a:ext uri="{FF2B5EF4-FFF2-40B4-BE49-F238E27FC236}">
                  <a16:creationId xmlns:a16="http://schemas.microsoft.com/office/drawing/2014/main" id="{B7D8843F-0D9B-402B-9081-D3307C5F05C7}"/>
                </a:ext>
              </a:extLst>
            </xdr:cNvPr>
            <xdr:cNvCxnSpPr/>
          </xdr:nvCxnSpPr>
          <xdr:spPr>
            <a:xfrm flipH="1">
              <a:off x="8028135" y="4168964"/>
              <a:ext cx="55465" cy="79464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18" name="Group 117">
            <a:extLst>
              <a:ext uri="{FF2B5EF4-FFF2-40B4-BE49-F238E27FC236}">
                <a16:creationId xmlns:a16="http://schemas.microsoft.com/office/drawing/2014/main" id="{4B42C8E4-E77B-4397-83A2-B33A1FAACBC4}"/>
              </a:ext>
            </a:extLst>
          </xdr:cNvPr>
          <xdr:cNvGrpSpPr/>
        </xdr:nvGrpSpPr>
        <xdr:grpSpPr>
          <a:xfrm>
            <a:off x="9121290" y="4739391"/>
            <a:ext cx="99235" cy="79464"/>
            <a:chOff x="7984901" y="4168964"/>
            <a:chExt cx="98699" cy="79464"/>
          </a:xfrm>
        </xdr:grpSpPr>
        <xdr:cxnSp macro="">
          <xdr:nvCxnSpPr>
            <xdr:cNvPr id="134" name="Straight Connector 133">
              <a:extLst>
                <a:ext uri="{FF2B5EF4-FFF2-40B4-BE49-F238E27FC236}">
                  <a16:creationId xmlns:a16="http://schemas.microsoft.com/office/drawing/2014/main" id="{EA02CBEC-6FD4-4E64-83A5-32B2A18A544A}"/>
                </a:ext>
              </a:extLst>
            </xdr:cNvPr>
            <xdr:cNvCxnSpPr/>
          </xdr:nvCxnSpPr>
          <xdr:spPr>
            <a:xfrm>
              <a:off x="7984901" y="4169535"/>
              <a:ext cx="47873" cy="7548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35" name="Straight Connector 134">
              <a:extLst>
                <a:ext uri="{FF2B5EF4-FFF2-40B4-BE49-F238E27FC236}">
                  <a16:creationId xmlns:a16="http://schemas.microsoft.com/office/drawing/2014/main" id="{CD10FD85-2AFF-4272-89EE-F53DE214A5EF}"/>
                </a:ext>
              </a:extLst>
            </xdr:cNvPr>
            <xdr:cNvCxnSpPr/>
          </xdr:nvCxnSpPr>
          <xdr:spPr>
            <a:xfrm flipH="1">
              <a:off x="8028135" y="4168964"/>
              <a:ext cx="55465" cy="79464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19" name="Group 118">
            <a:extLst>
              <a:ext uri="{FF2B5EF4-FFF2-40B4-BE49-F238E27FC236}">
                <a16:creationId xmlns:a16="http://schemas.microsoft.com/office/drawing/2014/main" id="{343287B3-783C-43D4-92FD-E0C79ABB8DA8}"/>
              </a:ext>
            </a:extLst>
          </xdr:cNvPr>
          <xdr:cNvGrpSpPr/>
        </xdr:nvGrpSpPr>
        <xdr:grpSpPr>
          <a:xfrm>
            <a:off x="9341317" y="4738360"/>
            <a:ext cx="99235" cy="79464"/>
            <a:chOff x="7984901" y="4168964"/>
            <a:chExt cx="98699" cy="79464"/>
          </a:xfrm>
        </xdr:grpSpPr>
        <xdr:cxnSp macro="">
          <xdr:nvCxnSpPr>
            <xdr:cNvPr id="132" name="Straight Connector 131">
              <a:extLst>
                <a:ext uri="{FF2B5EF4-FFF2-40B4-BE49-F238E27FC236}">
                  <a16:creationId xmlns:a16="http://schemas.microsoft.com/office/drawing/2014/main" id="{85D58899-319D-490B-BC21-7EC7776A1B32}"/>
                </a:ext>
              </a:extLst>
            </xdr:cNvPr>
            <xdr:cNvCxnSpPr/>
          </xdr:nvCxnSpPr>
          <xdr:spPr>
            <a:xfrm>
              <a:off x="7984901" y="4169535"/>
              <a:ext cx="47873" cy="7548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33" name="Straight Connector 132">
              <a:extLst>
                <a:ext uri="{FF2B5EF4-FFF2-40B4-BE49-F238E27FC236}">
                  <a16:creationId xmlns:a16="http://schemas.microsoft.com/office/drawing/2014/main" id="{5BA8A753-1AAD-4412-AC5C-6D03EF43799D}"/>
                </a:ext>
              </a:extLst>
            </xdr:cNvPr>
            <xdr:cNvCxnSpPr/>
          </xdr:nvCxnSpPr>
          <xdr:spPr>
            <a:xfrm flipH="1">
              <a:off x="8028135" y="4168964"/>
              <a:ext cx="55465" cy="79464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20" name="Group 119">
            <a:extLst>
              <a:ext uri="{FF2B5EF4-FFF2-40B4-BE49-F238E27FC236}">
                <a16:creationId xmlns:a16="http://schemas.microsoft.com/office/drawing/2014/main" id="{E3C8FD39-628E-4AA7-BBC9-8806F572C5D0}"/>
              </a:ext>
            </a:extLst>
          </xdr:cNvPr>
          <xdr:cNvGrpSpPr/>
        </xdr:nvGrpSpPr>
        <xdr:grpSpPr>
          <a:xfrm>
            <a:off x="9555568" y="4739844"/>
            <a:ext cx="99235" cy="79464"/>
            <a:chOff x="7984901" y="4168964"/>
            <a:chExt cx="98699" cy="79464"/>
          </a:xfrm>
        </xdr:grpSpPr>
        <xdr:cxnSp macro="">
          <xdr:nvCxnSpPr>
            <xdr:cNvPr id="130" name="Straight Connector 129">
              <a:extLst>
                <a:ext uri="{FF2B5EF4-FFF2-40B4-BE49-F238E27FC236}">
                  <a16:creationId xmlns:a16="http://schemas.microsoft.com/office/drawing/2014/main" id="{358F2F87-8257-4843-97A4-099EC84E2506}"/>
                </a:ext>
              </a:extLst>
            </xdr:cNvPr>
            <xdr:cNvCxnSpPr/>
          </xdr:nvCxnSpPr>
          <xdr:spPr>
            <a:xfrm>
              <a:off x="7984901" y="4169535"/>
              <a:ext cx="47873" cy="7548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31" name="Straight Connector 130">
              <a:extLst>
                <a:ext uri="{FF2B5EF4-FFF2-40B4-BE49-F238E27FC236}">
                  <a16:creationId xmlns:a16="http://schemas.microsoft.com/office/drawing/2014/main" id="{D4B90199-B219-435B-B2FA-145080C42C6F}"/>
                </a:ext>
              </a:extLst>
            </xdr:cNvPr>
            <xdr:cNvCxnSpPr/>
          </xdr:nvCxnSpPr>
          <xdr:spPr>
            <a:xfrm flipH="1">
              <a:off x="8028135" y="4168964"/>
              <a:ext cx="55465" cy="79464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21" name="Group 120">
            <a:extLst>
              <a:ext uri="{FF2B5EF4-FFF2-40B4-BE49-F238E27FC236}">
                <a16:creationId xmlns:a16="http://schemas.microsoft.com/office/drawing/2014/main" id="{ABC9C64B-71A0-487E-9213-D1983AED9EF1}"/>
              </a:ext>
            </a:extLst>
          </xdr:cNvPr>
          <xdr:cNvGrpSpPr/>
        </xdr:nvGrpSpPr>
        <xdr:grpSpPr>
          <a:xfrm>
            <a:off x="9772746" y="4738854"/>
            <a:ext cx="99235" cy="79464"/>
            <a:chOff x="7984901" y="4168964"/>
            <a:chExt cx="98699" cy="79464"/>
          </a:xfrm>
        </xdr:grpSpPr>
        <xdr:cxnSp macro="">
          <xdr:nvCxnSpPr>
            <xdr:cNvPr id="128" name="Straight Connector 127">
              <a:extLst>
                <a:ext uri="{FF2B5EF4-FFF2-40B4-BE49-F238E27FC236}">
                  <a16:creationId xmlns:a16="http://schemas.microsoft.com/office/drawing/2014/main" id="{5BD52C8D-FAE4-4DA6-9862-C50CAA732C27}"/>
                </a:ext>
              </a:extLst>
            </xdr:cNvPr>
            <xdr:cNvCxnSpPr/>
          </xdr:nvCxnSpPr>
          <xdr:spPr>
            <a:xfrm>
              <a:off x="7984901" y="4169535"/>
              <a:ext cx="47873" cy="7548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9" name="Straight Connector 128">
              <a:extLst>
                <a:ext uri="{FF2B5EF4-FFF2-40B4-BE49-F238E27FC236}">
                  <a16:creationId xmlns:a16="http://schemas.microsoft.com/office/drawing/2014/main" id="{79647EA3-F89F-4421-ACE4-603787F26476}"/>
                </a:ext>
              </a:extLst>
            </xdr:cNvPr>
            <xdr:cNvCxnSpPr/>
          </xdr:nvCxnSpPr>
          <xdr:spPr>
            <a:xfrm flipH="1">
              <a:off x="8028135" y="4168964"/>
              <a:ext cx="55465" cy="79464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22" name="Group 121">
            <a:extLst>
              <a:ext uri="{FF2B5EF4-FFF2-40B4-BE49-F238E27FC236}">
                <a16:creationId xmlns:a16="http://schemas.microsoft.com/office/drawing/2014/main" id="{2A06108B-D137-4782-8A11-A067FDD1833F}"/>
              </a:ext>
            </a:extLst>
          </xdr:cNvPr>
          <xdr:cNvGrpSpPr/>
        </xdr:nvGrpSpPr>
        <xdr:grpSpPr>
          <a:xfrm>
            <a:off x="9990091" y="4740506"/>
            <a:ext cx="99235" cy="79464"/>
            <a:chOff x="7984901" y="4168964"/>
            <a:chExt cx="98699" cy="79464"/>
          </a:xfrm>
        </xdr:grpSpPr>
        <xdr:cxnSp macro="">
          <xdr:nvCxnSpPr>
            <xdr:cNvPr id="126" name="Straight Connector 125">
              <a:extLst>
                <a:ext uri="{FF2B5EF4-FFF2-40B4-BE49-F238E27FC236}">
                  <a16:creationId xmlns:a16="http://schemas.microsoft.com/office/drawing/2014/main" id="{B1443E6A-ECBF-456D-816B-78AC15409E0C}"/>
                </a:ext>
              </a:extLst>
            </xdr:cNvPr>
            <xdr:cNvCxnSpPr/>
          </xdr:nvCxnSpPr>
          <xdr:spPr>
            <a:xfrm>
              <a:off x="7984901" y="4169535"/>
              <a:ext cx="47873" cy="7548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7" name="Straight Connector 126">
              <a:extLst>
                <a:ext uri="{FF2B5EF4-FFF2-40B4-BE49-F238E27FC236}">
                  <a16:creationId xmlns:a16="http://schemas.microsoft.com/office/drawing/2014/main" id="{993DCFE9-182E-4D42-B9A6-240F13D831B5}"/>
                </a:ext>
              </a:extLst>
            </xdr:cNvPr>
            <xdr:cNvCxnSpPr/>
          </xdr:nvCxnSpPr>
          <xdr:spPr>
            <a:xfrm flipH="1">
              <a:off x="8028135" y="4168964"/>
              <a:ext cx="55465" cy="79464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23" name="Group 122">
            <a:extLst>
              <a:ext uri="{FF2B5EF4-FFF2-40B4-BE49-F238E27FC236}">
                <a16:creationId xmlns:a16="http://schemas.microsoft.com/office/drawing/2014/main" id="{A63A3948-81EA-47D9-9D2C-519825607434}"/>
              </a:ext>
            </a:extLst>
          </xdr:cNvPr>
          <xdr:cNvGrpSpPr/>
        </xdr:nvGrpSpPr>
        <xdr:grpSpPr>
          <a:xfrm>
            <a:off x="10204342" y="4741990"/>
            <a:ext cx="99235" cy="79464"/>
            <a:chOff x="7984901" y="4168964"/>
            <a:chExt cx="98699" cy="79464"/>
          </a:xfrm>
        </xdr:grpSpPr>
        <xdr:cxnSp macro="">
          <xdr:nvCxnSpPr>
            <xdr:cNvPr id="124" name="Straight Connector 123">
              <a:extLst>
                <a:ext uri="{FF2B5EF4-FFF2-40B4-BE49-F238E27FC236}">
                  <a16:creationId xmlns:a16="http://schemas.microsoft.com/office/drawing/2014/main" id="{BDD1C214-9E72-476C-9D71-663046BB1724}"/>
                </a:ext>
              </a:extLst>
            </xdr:cNvPr>
            <xdr:cNvCxnSpPr/>
          </xdr:nvCxnSpPr>
          <xdr:spPr>
            <a:xfrm>
              <a:off x="7984901" y="4169535"/>
              <a:ext cx="47873" cy="7548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5" name="Straight Connector 124">
              <a:extLst>
                <a:ext uri="{FF2B5EF4-FFF2-40B4-BE49-F238E27FC236}">
                  <a16:creationId xmlns:a16="http://schemas.microsoft.com/office/drawing/2014/main" id="{FCC12776-4D34-44C7-8F9F-B263B5EFB9D6}"/>
                </a:ext>
              </a:extLst>
            </xdr:cNvPr>
            <xdr:cNvCxnSpPr/>
          </xdr:nvCxnSpPr>
          <xdr:spPr>
            <a:xfrm flipH="1">
              <a:off x="8028135" y="4168964"/>
              <a:ext cx="55465" cy="79464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26</xdr:col>
      <xdr:colOff>427014</xdr:colOff>
      <xdr:row>17</xdr:row>
      <xdr:rowOff>161925</xdr:rowOff>
    </xdr:from>
    <xdr:to>
      <xdr:col>27</xdr:col>
      <xdr:colOff>220185</xdr:colOff>
      <xdr:row>20</xdr:row>
      <xdr:rowOff>175532</xdr:rowOff>
    </xdr:to>
    <xdr:grpSp>
      <xdr:nvGrpSpPr>
        <xdr:cNvPr id="146" name="Group 145">
          <a:extLst>
            <a:ext uri="{FF2B5EF4-FFF2-40B4-BE49-F238E27FC236}">
              <a16:creationId xmlns:a16="http://schemas.microsoft.com/office/drawing/2014/main" id="{F86FAED1-FB6B-40A4-8525-4B066D2953AA}"/>
            </a:ext>
          </a:extLst>
        </xdr:cNvPr>
        <xdr:cNvGrpSpPr>
          <a:grpSpLocks/>
        </xdr:cNvGrpSpPr>
      </xdr:nvGrpSpPr>
      <xdr:grpSpPr bwMode="auto">
        <a:xfrm>
          <a:off x="19885228" y="3441246"/>
          <a:ext cx="541564" cy="585107"/>
          <a:chOff x="307" y="285"/>
          <a:chExt cx="42" cy="61"/>
        </a:xfrm>
        <a:gradFill flip="none" rotWithShape="1">
          <a:gsLst>
            <a:gs pos="0">
              <a:srgbClr val="00B0F0">
                <a:shade val="30000"/>
                <a:satMod val="115000"/>
              </a:srgbClr>
            </a:gs>
            <a:gs pos="50000">
              <a:srgbClr val="00B0F0">
                <a:shade val="67500"/>
                <a:satMod val="115000"/>
              </a:srgbClr>
            </a:gs>
            <a:gs pos="100000">
              <a:srgbClr val="00B0F0">
                <a:shade val="100000"/>
                <a:satMod val="115000"/>
              </a:srgbClr>
            </a:gs>
          </a:gsLst>
          <a:lin ang="0" scaled="1"/>
          <a:tileRect/>
        </a:gradFill>
      </xdr:grpSpPr>
      <xdr:sp macro="" textlink="">
        <xdr:nvSpPr>
          <xdr:cNvPr id="147" name="Oval 146">
            <a:extLst>
              <a:ext uri="{FF2B5EF4-FFF2-40B4-BE49-F238E27FC236}">
                <a16:creationId xmlns:a16="http://schemas.microsoft.com/office/drawing/2014/main" id="{C8932669-7324-4FBD-A9F9-F08F8FA421C3}"/>
              </a:ext>
            </a:extLst>
          </xdr:cNvPr>
          <xdr:cNvSpPr>
            <a:spLocks noChangeArrowheads="1"/>
          </xdr:cNvSpPr>
        </xdr:nvSpPr>
        <xdr:spPr bwMode="auto">
          <a:xfrm rot="5400000">
            <a:off x="308" y="296"/>
            <a:ext cx="40" cy="42"/>
          </a:xfrm>
          <a:prstGeom prst="ellipse">
            <a:avLst/>
          </a:prstGeom>
          <a:grpFill/>
          <a:ln w="158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8" name="Line 301">
            <a:extLst>
              <a:ext uri="{FF2B5EF4-FFF2-40B4-BE49-F238E27FC236}">
                <a16:creationId xmlns:a16="http://schemas.microsoft.com/office/drawing/2014/main" id="{3F5F93B6-9ACB-49ED-8967-EBC90C899602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316" y="296"/>
            <a:ext cx="22" cy="0"/>
          </a:xfrm>
          <a:prstGeom prst="line">
            <a:avLst/>
          </a:prstGeom>
          <a:grp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9" name="Line 302">
            <a:extLst>
              <a:ext uri="{FF2B5EF4-FFF2-40B4-BE49-F238E27FC236}">
                <a16:creationId xmlns:a16="http://schemas.microsoft.com/office/drawing/2014/main" id="{307A475E-C2F0-476C-9896-CC402C613AD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332" y="303"/>
            <a:ext cx="0" cy="10"/>
          </a:xfrm>
          <a:prstGeom prst="line">
            <a:avLst/>
          </a:prstGeom>
          <a:grp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0" name="Line 303">
            <a:extLst>
              <a:ext uri="{FF2B5EF4-FFF2-40B4-BE49-F238E27FC236}">
                <a16:creationId xmlns:a16="http://schemas.microsoft.com/office/drawing/2014/main" id="{7374C8AE-8E94-4CE6-A74E-3C6D14FE7BC4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318" y="308"/>
            <a:ext cx="20" cy="20"/>
          </a:xfrm>
          <a:prstGeom prst="line">
            <a:avLst/>
          </a:prstGeom>
          <a:grp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1" name="Line 304">
            <a:extLst>
              <a:ext uri="{FF2B5EF4-FFF2-40B4-BE49-F238E27FC236}">
                <a16:creationId xmlns:a16="http://schemas.microsoft.com/office/drawing/2014/main" id="{1250DD60-FF97-4268-80DD-F8707F9A079E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318" y="337"/>
            <a:ext cx="18" cy="0"/>
          </a:xfrm>
          <a:prstGeom prst="line">
            <a:avLst/>
          </a:prstGeom>
          <a:grp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2" name="Line 305">
            <a:extLst>
              <a:ext uri="{FF2B5EF4-FFF2-40B4-BE49-F238E27FC236}">
                <a16:creationId xmlns:a16="http://schemas.microsoft.com/office/drawing/2014/main" id="{BF072FAA-05A0-4997-966A-DDC94D134D6F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322" y="324"/>
            <a:ext cx="0" cy="8"/>
          </a:xfrm>
          <a:prstGeom prst="line">
            <a:avLst/>
          </a:prstGeom>
          <a:grpFill/>
          <a:ln w="285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597477</xdr:colOff>
      <xdr:row>17</xdr:row>
      <xdr:rowOff>8659</xdr:rowOff>
    </xdr:from>
    <xdr:to>
      <xdr:col>27</xdr:col>
      <xdr:colOff>8757</xdr:colOff>
      <xdr:row>17</xdr:row>
      <xdr:rowOff>161925</xdr:rowOff>
    </xdr:to>
    <xdr:cxnSp macro="">
      <xdr:nvCxnSpPr>
        <xdr:cNvPr id="153" name="Elbow Connector 197">
          <a:extLst>
            <a:ext uri="{FF2B5EF4-FFF2-40B4-BE49-F238E27FC236}">
              <a16:creationId xmlns:a16="http://schemas.microsoft.com/office/drawing/2014/main" id="{80477529-4F06-42B1-890D-3B6C89096698}"/>
            </a:ext>
          </a:extLst>
        </xdr:cNvPr>
        <xdr:cNvCxnSpPr>
          <a:stCxn id="148" idx="0"/>
        </xdr:cNvCxnSpPr>
      </xdr:nvCxnSpPr>
      <xdr:spPr>
        <a:xfrm rot="10800000">
          <a:off x="17980602" y="3266209"/>
          <a:ext cx="801930" cy="153266"/>
        </a:xfrm>
        <a:prstGeom prst="bentConnector3">
          <a:avLst>
            <a:gd name="adj1" fmla="val 8"/>
          </a:avLst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25</xdr:col>
      <xdr:colOff>597476</xdr:colOff>
      <xdr:row>20</xdr:row>
      <xdr:rowOff>175533</xdr:rowOff>
    </xdr:from>
    <xdr:to>
      <xdr:col>27</xdr:col>
      <xdr:colOff>8756</xdr:colOff>
      <xdr:row>21</xdr:row>
      <xdr:rowOff>181840</xdr:rowOff>
    </xdr:to>
    <xdr:cxnSp macro="">
      <xdr:nvCxnSpPr>
        <xdr:cNvPr id="154" name="Elbow Connector 198">
          <a:extLst>
            <a:ext uri="{FF2B5EF4-FFF2-40B4-BE49-F238E27FC236}">
              <a16:creationId xmlns:a16="http://schemas.microsoft.com/office/drawing/2014/main" id="{8A7D0E20-2CEF-416F-B231-10599007BB6C}"/>
            </a:ext>
          </a:extLst>
        </xdr:cNvPr>
        <xdr:cNvCxnSpPr>
          <a:endCxn id="151" idx="1"/>
        </xdr:cNvCxnSpPr>
      </xdr:nvCxnSpPr>
      <xdr:spPr>
        <a:xfrm flipV="1">
          <a:off x="17980601" y="4004583"/>
          <a:ext cx="801930" cy="196807"/>
        </a:xfrm>
        <a:prstGeom prst="bentConnector3">
          <a:avLst>
            <a:gd name="adj1" fmla="val 99822"/>
          </a:avLst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262397</xdr:colOff>
      <xdr:row>19</xdr:row>
      <xdr:rowOff>71713</xdr:rowOff>
    </xdr:from>
    <xdr:to>
      <xdr:col>25</xdr:col>
      <xdr:colOff>350320</xdr:colOff>
      <xdr:row>21</xdr:row>
      <xdr:rowOff>908</xdr:rowOff>
    </xdr:to>
    <xdr:grpSp>
      <xdr:nvGrpSpPr>
        <xdr:cNvPr id="155" name="Group 154">
          <a:extLst>
            <a:ext uri="{FF2B5EF4-FFF2-40B4-BE49-F238E27FC236}">
              <a16:creationId xmlns:a16="http://schemas.microsoft.com/office/drawing/2014/main" id="{874754BA-5BAA-45E5-8B51-22E6F436183D}"/>
            </a:ext>
          </a:extLst>
        </xdr:cNvPr>
        <xdr:cNvGrpSpPr/>
      </xdr:nvGrpSpPr>
      <xdr:grpSpPr>
        <a:xfrm>
          <a:off x="16727040" y="3732034"/>
          <a:ext cx="2333101" cy="310195"/>
          <a:chOff x="8150288" y="1155190"/>
          <a:chExt cx="1909579" cy="310195"/>
        </a:xfrm>
      </xdr:grpSpPr>
      <xdr:sp macro="" textlink="">
        <xdr:nvSpPr>
          <xdr:cNvPr id="156" name="Oval 155">
            <a:extLst>
              <a:ext uri="{FF2B5EF4-FFF2-40B4-BE49-F238E27FC236}">
                <a16:creationId xmlns:a16="http://schemas.microsoft.com/office/drawing/2014/main" id="{9DC94128-5EA7-4A67-BDAA-443F74BCECDB}"/>
              </a:ext>
            </a:extLst>
          </xdr:cNvPr>
          <xdr:cNvSpPr/>
        </xdr:nvSpPr>
        <xdr:spPr>
          <a:xfrm flipV="1">
            <a:off x="8150288" y="1340827"/>
            <a:ext cx="1909579" cy="124558"/>
          </a:xfrm>
          <a:prstGeom prst="ellipse">
            <a:avLst/>
          </a:prstGeom>
          <a:noFill/>
          <a:ln w="28575">
            <a:solidFill>
              <a:schemeClr val="accent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157" name="Group 156">
            <a:extLst>
              <a:ext uri="{FF2B5EF4-FFF2-40B4-BE49-F238E27FC236}">
                <a16:creationId xmlns:a16="http://schemas.microsoft.com/office/drawing/2014/main" id="{E02F3FED-BFFD-4D1A-AE37-A83E616A8E5E}"/>
              </a:ext>
            </a:extLst>
          </xdr:cNvPr>
          <xdr:cNvGrpSpPr/>
        </xdr:nvGrpSpPr>
        <xdr:grpSpPr>
          <a:xfrm rot="2461337">
            <a:off x="8182516" y="1155190"/>
            <a:ext cx="154731" cy="224049"/>
            <a:chOff x="7536175" y="1101610"/>
            <a:chExt cx="154731" cy="224049"/>
          </a:xfrm>
        </xdr:grpSpPr>
        <xdr:sp macro="" textlink="">
          <xdr:nvSpPr>
            <xdr:cNvPr id="162" name="Isosceles Triangle 161">
              <a:extLst>
                <a:ext uri="{FF2B5EF4-FFF2-40B4-BE49-F238E27FC236}">
                  <a16:creationId xmlns:a16="http://schemas.microsoft.com/office/drawing/2014/main" id="{2D52F48D-4903-4C44-80A3-F176ED7658E0}"/>
                </a:ext>
              </a:extLst>
            </xdr:cNvPr>
            <xdr:cNvSpPr/>
          </xdr:nvSpPr>
          <xdr:spPr>
            <a:xfrm rot="10800000">
              <a:off x="7536175" y="1147328"/>
              <a:ext cx="153865" cy="90875"/>
            </a:xfrm>
            <a:prstGeom prst="triangl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63" name="Isosceles Triangle 162">
              <a:extLst>
                <a:ext uri="{FF2B5EF4-FFF2-40B4-BE49-F238E27FC236}">
                  <a16:creationId xmlns:a16="http://schemas.microsoft.com/office/drawing/2014/main" id="{DBB03D70-4A37-48A1-A8C3-DE64691A8DE3}"/>
                </a:ext>
              </a:extLst>
            </xdr:cNvPr>
            <xdr:cNvSpPr/>
          </xdr:nvSpPr>
          <xdr:spPr>
            <a:xfrm>
              <a:off x="7537041" y="1234784"/>
              <a:ext cx="153865" cy="90875"/>
            </a:xfrm>
            <a:prstGeom prst="triangl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64" name="Rectangle 163">
              <a:extLst>
                <a:ext uri="{FF2B5EF4-FFF2-40B4-BE49-F238E27FC236}">
                  <a16:creationId xmlns:a16="http://schemas.microsoft.com/office/drawing/2014/main" id="{688CD47B-78E2-48B9-BFB8-77B7C0B660A3}"/>
                </a:ext>
              </a:extLst>
            </xdr:cNvPr>
            <xdr:cNvSpPr/>
          </xdr:nvSpPr>
          <xdr:spPr>
            <a:xfrm>
              <a:off x="7571775" y="1101610"/>
              <a:ext cx="84772" cy="45719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158" name="Group 157">
            <a:extLst>
              <a:ext uri="{FF2B5EF4-FFF2-40B4-BE49-F238E27FC236}">
                <a16:creationId xmlns:a16="http://schemas.microsoft.com/office/drawing/2014/main" id="{01CFB676-8FF8-4B48-8453-90D81DDBBA3F}"/>
              </a:ext>
            </a:extLst>
          </xdr:cNvPr>
          <xdr:cNvGrpSpPr/>
        </xdr:nvGrpSpPr>
        <xdr:grpSpPr>
          <a:xfrm rot="19151057">
            <a:off x="9870820" y="1158759"/>
            <a:ext cx="154731" cy="224049"/>
            <a:chOff x="7536175" y="1101610"/>
            <a:chExt cx="154731" cy="224049"/>
          </a:xfrm>
        </xdr:grpSpPr>
        <xdr:sp macro="" textlink="">
          <xdr:nvSpPr>
            <xdr:cNvPr id="159" name="Isosceles Triangle 158">
              <a:extLst>
                <a:ext uri="{FF2B5EF4-FFF2-40B4-BE49-F238E27FC236}">
                  <a16:creationId xmlns:a16="http://schemas.microsoft.com/office/drawing/2014/main" id="{313246F0-59DE-4DC5-840C-A1A397FDFCC0}"/>
                </a:ext>
              </a:extLst>
            </xdr:cNvPr>
            <xdr:cNvSpPr/>
          </xdr:nvSpPr>
          <xdr:spPr>
            <a:xfrm rot="10800000">
              <a:off x="7536175" y="1147328"/>
              <a:ext cx="153865" cy="90875"/>
            </a:xfrm>
            <a:prstGeom prst="triangl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60" name="Isosceles Triangle 159">
              <a:extLst>
                <a:ext uri="{FF2B5EF4-FFF2-40B4-BE49-F238E27FC236}">
                  <a16:creationId xmlns:a16="http://schemas.microsoft.com/office/drawing/2014/main" id="{BE21732B-BB17-48FC-BA0E-8D0BE289D7BA}"/>
                </a:ext>
              </a:extLst>
            </xdr:cNvPr>
            <xdr:cNvSpPr/>
          </xdr:nvSpPr>
          <xdr:spPr>
            <a:xfrm>
              <a:off x="7537041" y="1234784"/>
              <a:ext cx="153865" cy="90875"/>
            </a:xfrm>
            <a:prstGeom prst="triangl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61" name="Rectangle 160">
              <a:extLst>
                <a:ext uri="{FF2B5EF4-FFF2-40B4-BE49-F238E27FC236}">
                  <a16:creationId xmlns:a16="http://schemas.microsoft.com/office/drawing/2014/main" id="{DA2903F1-3B9B-481D-8264-BC9B8F018818}"/>
                </a:ext>
              </a:extLst>
            </xdr:cNvPr>
            <xdr:cNvSpPr/>
          </xdr:nvSpPr>
          <xdr:spPr>
            <a:xfrm>
              <a:off x="7571775" y="1101610"/>
              <a:ext cx="84772" cy="45719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xdr:twoCellAnchor>
    <xdr:from>
      <xdr:col>27</xdr:col>
      <xdr:colOff>161550</xdr:colOff>
      <xdr:row>20</xdr:row>
      <xdr:rowOff>33017</xdr:rowOff>
    </xdr:from>
    <xdr:to>
      <xdr:col>27</xdr:col>
      <xdr:colOff>285749</xdr:colOff>
      <xdr:row>20</xdr:row>
      <xdr:rowOff>184547</xdr:rowOff>
    </xdr:to>
    <xdr:cxnSp macro="">
      <xdr:nvCxnSpPr>
        <xdr:cNvPr id="165" name="Straight Arrow Connector 164">
          <a:extLst>
            <a:ext uri="{FF2B5EF4-FFF2-40B4-BE49-F238E27FC236}">
              <a16:creationId xmlns:a16="http://schemas.microsoft.com/office/drawing/2014/main" id="{EE0B2E4A-B2A7-4579-AE70-EBA237D83387}"/>
            </a:ext>
          </a:extLst>
        </xdr:cNvPr>
        <xdr:cNvCxnSpPr>
          <a:stCxn id="147" idx="7"/>
        </xdr:cNvCxnSpPr>
      </xdr:nvCxnSpPr>
      <xdr:spPr>
        <a:xfrm>
          <a:off x="18935325" y="3862067"/>
          <a:ext cx="124199" cy="151530"/>
        </a:xfrm>
        <a:prstGeom prst="straightConnector1">
          <a:avLst/>
        </a:prstGeom>
        <a:ln>
          <a:headEnd type="triangle" w="med" len="med"/>
          <a:tailEnd type="none" w="med" len="med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285750</xdr:colOff>
      <xdr:row>20</xdr:row>
      <xdr:rowOff>184547</xdr:rowOff>
    </xdr:from>
    <xdr:to>
      <xdr:col>28</xdr:col>
      <xdr:colOff>5953</xdr:colOff>
      <xdr:row>20</xdr:row>
      <xdr:rowOff>184547</xdr:rowOff>
    </xdr:to>
    <xdr:cxnSp macro="">
      <xdr:nvCxnSpPr>
        <xdr:cNvPr id="166" name="Straight Arrow Connector 165">
          <a:extLst>
            <a:ext uri="{FF2B5EF4-FFF2-40B4-BE49-F238E27FC236}">
              <a16:creationId xmlns:a16="http://schemas.microsoft.com/office/drawing/2014/main" id="{04EE22D7-7320-4CD8-9727-7BDED9891740}"/>
            </a:ext>
          </a:extLst>
        </xdr:cNvPr>
        <xdr:cNvCxnSpPr/>
      </xdr:nvCxnSpPr>
      <xdr:spPr>
        <a:xfrm flipH="1">
          <a:off x="19059525" y="4013597"/>
          <a:ext cx="415528" cy="0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289322</xdr:colOff>
      <xdr:row>17</xdr:row>
      <xdr:rowOff>188119</xdr:rowOff>
    </xdr:from>
    <xdr:to>
      <xdr:col>28</xdr:col>
      <xdr:colOff>9525</xdr:colOff>
      <xdr:row>17</xdr:row>
      <xdr:rowOff>188119</xdr:rowOff>
    </xdr:to>
    <xdr:cxnSp macro="">
      <xdr:nvCxnSpPr>
        <xdr:cNvPr id="167" name="Straight Arrow Connector 166">
          <a:extLst>
            <a:ext uri="{FF2B5EF4-FFF2-40B4-BE49-F238E27FC236}">
              <a16:creationId xmlns:a16="http://schemas.microsoft.com/office/drawing/2014/main" id="{0E17F742-CD7C-4B8F-BFE4-A0BDB0103C67}"/>
            </a:ext>
          </a:extLst>
        </xdr:cNvPr>
        <xdr:cNvCxnSpPr/>
      </xdr:nvCxnSpPr>
      <xdr:spPr>
        <a:xfrm flipH="1">
          <a:off x="19063097" y="3445669"/>
          <a:ext cx="415528" cy="0"/>
        </a:xfrm>
        <a:prstGeom prst="straightConnector1">
          <a:avLst/>
        </a:prstGeom>
        <a:ln>
          <a:headEnd type="triangle" w="med" len="med"/>
          <a:tailEnd type="none" w="med" len="med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161550</xdr:colOff>
      <xdr:row>18</xdr:row>
      <xdr:rowOff>0</xdr:rowOff>
    </xdr:from>
    <xdr:to>
      <xdr:col>27</xdr:col>
      <xdr:colOff>291703</xdr:colOff>
      <xdr:row>18</xdr:row>
      <xdr:rowOff>142716</xdr:rowOff>
    </xdr:to>
    <xdr:cxnSp macro="">
      <xdr:nvCxnSpPr>
        <xdr:cNvPr id="168" name="Straight Arrow Connector 167">
          <a:extLst>
            <a:ext uri="{FF2B5EF4-FFF2-40B4-BE49-F238E27FC236}">
              <a16:creationId xmlns:a16="http://schemas.microsoft.com/office/drawing/2014/main" id="{8B23BD64-D652-46D0-A417-2963B981F951}"/>
            </a:ext>
          </a:extLst>
        </xdr:cNvPr>
        <xdr:cNvCxnSpPr>
          <a:endCxn id="147" idx="1"/>
        </xdr:cNvCxnSpPr>
      </xdr:nvCxnSpPr>
      <xdr:spPr>
        <a:xfrm flipH="1">
          <a:off x="18935325" y="3448050"/>
          <a:ext cx="130153" cy="142716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oneCellAnchor>
    <xdr:from>
      <xdr:col>27</xdr:col>
      <xdr:colOff>232171</xdr:colOff>
      <xdr:row>18</xdr:row>
      <xdr:rowOff>136922</xdr:rowOff>
    </xdr:from>
    <xdr:ext cx="582724" cy="264560"/>
    <xdr:sp macro="" textlink="">
      <xdr:nvSpPr>
        <xdr:cNvPr id="169" name="TextBox 168">
          <a:extLst>
            <a:ext uri="{FF2B5EF4-FFF2-40B4-BE49-F238E27FC236}">
              <a16:creationId xmlns:a16="http://schemas.microsoft.com/office/drawing/2014/main" id="{A938EFCF-8175-418F-97D4-9D65C0FF3CFB}"/>
            </a:ext>
          </a:extLst>
        </xdr:cNvPr>
        <xdr:cNvSpPr txBox="1"/>
      </xdr:nvSpPr>
      <xdr:spPr>
        <a:xfrm>
          <a:off x="19005946" y="3584972"/>
          <a:ext cx="58272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solidFill>
                <a:srgbClr val="0070C0"/>
              </a:solidFill>
            </a:rPr>
            <a:t>E-2202</a:t>
          </a:r>
        </a:p>
      </xdr:txBody>
    </xdr:sp>
    <xdr:clientData/>
  </xdr:oneCellAnchor>
  <xdr:oneCellAnchor>
    <xdr:from>
      <xdr:col>27</xdr:col>
      <xdr:colOff>598884</xdr:colOff>
      <xdr:row>20</xdr:row>
      <xdr:rowOff>57151</xdr:rowOff>
    </xdr:from>
    <xdr:ext cx="405432" cy="264560"/>
    <xdr:sp macro="" textlink="">
      <xdr:nvSpPr>
        <xdr:cNvPr id="170" name="TextBox 169">
          <a:extLst>
            <a:ext uri="{FF2B5EF4-FFF2-40B4-BE49-F238E27FC236}">
              <a16:creationId xmlns:a16="http://schemas.microsoft.com/office/drawing/2014/main" id="{9D2AD39B-93E0-4E89-94B1-BB13244995C1}"/>
            </a:ext>
          </a:extLst>
        </xdr:cNvPr>
        <xdr:cNvSpPr txBox="1"/>
      </xdr:nvSpPr>
      <xdr:spPr>
        <a:xfrm>
          <a:off x="19372659" y="3886201"/>
          <a:ext cx="40543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solidFill>
                <a:srgbClr val="0070C0"/>
              </a:solidFill>
            </a:rPr>
            <a:t>RCS</a:t>
          </a:r>
        </a:p>
      </xdr:txBody>
    </xdr:sp>
    <xdr:clientData/>
  </xdr:oneCellAnchor>
  <xdr:oneCellAnchor>
    <xdr:from>
      <xdr:col>27</xdr:col>
      <xdr:colOff>602455</xdr:colOff>
      <xdr:row>17</xdr:row>
      <xdr:rowOff>60723</xdr:rowOff>
    </xdr:from>
    <xdr:ext cx="418191" cy="264560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6A45DD2D-DF0E-4334-863C-F8DCA36B0AE4}"/>
            </a:ext>
          </a:extLst>
        </xdr:cNvPr>
        <xdr:cNvSpPr txBox="1"/>
      </xdr:nvSpPr>
      <xdr:spPr>
        <a:xfrm>
          <a:off x="19376230" y="3318273"/>
          <a:ext cx="41819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solidFill>
                <a:srgbClr val="0070C0"/>
              </a:solidFill>
            </a:rPr>
            <a:t>RCR</a:t>
          </a:r>
        </a:p>
      </xdr:txBody>
    </xdr:sp>
    <xdr:clientData/>
  </xdr:oneCellAnchor>
  <xdr:oneCellAnchor>
    <xdr:from>
      <xdr:col>23</xdr:col>
      <xdr:colOff>288955</xdr:colOff>
      <xdr:row>14</xdr:row>
      <xdr:rowOff>86549</xdr:rowOff>
    </xdr:from>
    <xdr:ext cx="686983" cy="264560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4A5A2054-2DCD-4F40-A564-803FE86FFFD1}"/>
            </a:ext>
          </a:extLst>
        </xdr:cNvPr>
        <xdr:cNvSpPr txBox="1"/>
      </xdr:nvSpPr>
      <xdr:spPr>
        <a:xfrm>
          <a:off x="16281430" y="2772599"/>
          <a:ext cx="68698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OX-1202</a:t>
          </a:r>
        </a:p>
      </xdr:txBody>
    </xdr:sp>
    <xdr:clientData/>
  </xdr:oneCellAnchor>
  <xdr:twoCellAnchor>
    <xdr:from>
      <xdr:col>22</xdr:col>
      <xdr:colOff>416755</xdr:colOff>
      <xdr:row>20</xdr:row>
      <xdr:rowOff>110783</xdr:rowOff>
    </xdr:from>
    <xdr:to>
      <xdr:col>22</xdr:col>
      <xdr:colOff>468630</xdr:colOff>
      <xdr:row>20</xdr:row>
      <xdr:rowOff>163830</xdr:rowOff>
    </xdr:to>
    <xdr:sp macro="" textlink="">
      <xdr:nvSpPr>
        <xdr:cNvPr id="173" name="Oval 172">
          <a:extLst>
            <a:ext uri="{FF2B5EF4-FFF2-40B4-BE49-F238E27FC236}">
              <a16:creationId xmlns:a16="http://schemas.microsoft.com/office/drawing/2014/main" id="{9F854E67-83BB-4D33-B281-ED7E6367804A}"/>
            </a:ext>
          </a:extLst>
        </xdr:cNvPr>
        <xdr:cNvSpPr/>
      </xdr:nvSpPr>
      <xdr:spPr>
        <a:xfrm>
          <a:off x="15713905" y="3939833"/>
          <a:ext cx="51875" cy="53047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119575</xdr:colOff>
      <xdr:row>20</xdr:row>
      <xdr:rowOff>183173</xdr:rowOff>
    </xdr:from>
    <xdr:to>
      <xdr:col>22</xdr:col>
      <xdr:colOff>171450</xdr:colOff>
      <xdr:row>21</xdr:row>
      <xdr:rowOff>45720</xdr:rowOff>
    </xdr:to>
    <xdr:sp macro="" textlink="">
      <xdr:nvSpPr>
        <xdr:cNvPr id="174" name="Oval 173">
          <a:extLst>
            <a:ext uri="{FF2B5EF4-FFF2-40B4-BE49-F238E27FC236}">
              <a16:creationId xmlns:a16="http://schemas.microsoft.com/office/drawing/2014/main" id="{CC719BBB-F680-4881-83A5-E070A2202487}"/>
            </a:ext>
          </a:extLst>
        </xdr:cNvPr>
        <xdr:cNvSpPr/>
      </xdr:nvSpPr>
      <xdr:spPr>
        <a:xfrm>
          <a:off x="15416725" y="4012223"/>
          <a:ext cx="51875" cy="53047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119575</xdr:colOff>
      <xdr:row>20</xdr:row>
      <xdr:rowOff>80303</xdr:rowOff>
    </xdr:from>
    <xdr:to>
      <xdr:col>23</xdr:col>
      <xdr:colOff>171450</xdr:colOff>
      <xdr:row>20</xdr:row>
      <xdr:rowOff>133350</xdr:rowOff>
    </xdr:to>
    <xdr:sp macro="" textlink="">
      <xdr:nvSpPr>
        <xdr:cNvPr id="175" name="Oval 174">
          <a:extLst>
            <a:ext uri="{FF2B5EF4-FFF2-40B4-BE49-F238E27FC236}">
              <a16:creationId xmlns:a16="http://schemas.microsoft.com/office/drawing/2014/main" id="{8F98A4ED-0E95-4DEC-B556-44930EBE3B24}"/>
            </a:ext>
          </a:extLst>
        </xdr:cNvPr>
        <xdr:cNvSpPr/>
      </xdr:nvSpPr>
      <xdr:spPr>
        <a:xfrm>
          <a:off x="16112050" y="3909353"/>
          <a:ext cx="51875" cy="53047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20515</xdr:colOff>
      <xdr:row>21</xdr:row>
      <xdr:rowOff>42203</xdr:rowOff>
    </xdr:from>
    <xdr:to>
      <xdr:col>24</xdr:col>
      <xdr:colOff>72390</xdr:colOff>
      <xdr:row>21</xdr:row>
      <xdr:rowOff>95250</xdr:rowOff>
    </xdr:to>
    <xdr:sp macro="" textlink="">
      <xdr:nvSpPr>
        <xdr:cNvPr id="176" name="Oval 175">
          <a:extLst>
            <a:ext uri="{FF2B5EF4-FFF2-40B4-BE49-F238E27FC236}">
              <a16:creationId xmlns:a16="http://schemas.microsoft.com/office/drawing/2014/main" id="{97268943-E326-42F2-9FA4-D851CD055386}"/>
            </a:ext>
          </a:extLst>
        </xdr:cNvPr>
        <xdr:cNvSpPr/>
      </xdr:nvSpPr>
      <xdr:spPr>
        <a:xfrm>
          <a:off x="16708315" y="4061753"/>
          <a:ext cx="51875" cy="53047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359605</xdr:colOff>
      <xdr:row>20</xdr:row>
      <xdr:rowOff>186983</xdr:rowOff>
    </xdr:from>
    <xdr:to>
      <xdr:col>23</xdr:col>
      <xdr:colOff>411480</xdr:colOff>
      <xdr:row>21</xdr:row>
      <xdr:rowOff>49530</xdr:rowOff>
    </xdr:to>
    <xdr:sp macro="" textlink="">
      <xdr:nvSpPr>
        <xdr:cNvPr id="177" name="Oval 176">
          <a:extLst>
            <a:ext uri="{FF2B5EF4-FFF2-40B4-BE49-F238E27FC236}">
              <a16:creationId xmlns:a16="http://schemas.microsoft.com/office/drawing/2014/main" id="{193D12B8-94FF-44A1-8E87-FFA6C742EF35}"/>
            </a:ext>
          </a:extLst>
        </xdr:cNvPr>
        <xdr:cNvSpPr/>
      </xdr:nvSpPr>
      <xdr:spPr>
        <a:xfrm>
          <a:off x="16352080" y="4016033"/>
          <a:ext cx="51875" cy="53047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245305</xdr:colOff>
      <xdr:row>20</xdr:row>
      <xdr:rowOff>175553</xdr:rowOff>
    </xdr:from>
    <xdr:to>
      <xdr:col>24</xdr:col>
      <xdr:colOff>297180</xdr:colOff>
      <xdr:row>21</xdr:row>
      <xdr:rowOff>38100</xdr:rowOff>
    </xdr:to>
    <xdr:sp macro="" textlink="">
      <xdr:nvSpPr>
        <xdr:cNvPr id="178" name="Oval 177">
          <a:extLst>
            <a:ext uri="{FF2B5EF4-FFF2-40B4-BE49-F238E27FC236}">
              <a16:creationId xmlns:a16="http://schemas.microsoft.com/office/drawing/2014/main" id="{9562AA38-1576-4B16-A020-A0205DF8A6BE}"/>
            </a:ext>
          </a:extLst>
        </xdr:cNvPr>
        <xdr:cNvSpPr/>
      </xdr:nvSpPr>
      <xdr:spPr>
        <a:xfrm>
          <a:off x="16933105" y="4004603"/>
          <a:ext cx="51875" cy="53047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428185</xdr:colOff>
      <xdr:row>21</xdr:row>
      <xdr:rowOff>38393</xdr:rowOff>
    </xdr:from>
    <xdr:to>
      <xdr:col>24</xdr:col>
      <xdr:colOff>480060</xdr:colOff>
      <xdr:row>21</xdr:row>
      <xdr:rowOff>91440</xdr:rowOff>
    </xdr:to>
    <xdr:sp macro="" textlink="">
      <xdr:nvSpPr>
        <xdr:cNvPr id="179" name="Oval 178">
          <a:extLst>
            <a:ext uri="{FF2B5EF4-FFF2-40B4-BE49-F238E27FC236}">
              <a16:creationId xmlns:a16="http://schemas.microsoft.com/office/drawing/2014/main" id="{FE8224E0-7DE7-425A-B246-74E9FA8B6C72}"/>
            </a:ext>
          </a:extLst>
        </xdr:cNvPr>
        <xdr:cNvSpPr/>
      </xdr:nvSpPr>
      <xdr:spPr>
        <a:xfrm>
          <a:off x="17115985" y="4057943"/>
          <a:ext cx="51875" cy="53047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81475</xdr:colOff>
      <xdr:row>20</xdr:row>
      <xdr:rowOff>175553</xdr:rowOff>
    </xdr:from>
    <xdr:to>
      <xdr:col>25</xdr:col>
      <xdr:colOff>133350</xdr:colOff>
      <xdr:row>21</xdr:row>
      <xdr:rowOff>38100</xdr:rowOff>
    </xdr:to>
    <xdr:sp macro="" textlink="">
      <xdr:nvSpPr>
        <xdr:cNvPr id="180" name="Oval 179">
          <a:extLst>
            <a:ext uri="{FF2B5EF4-FFF2-40B4-BE49-F238E27FC236}">
              <a16:creationId xmlns:a16="http://schemas.microsoft.com/office/drawing/2014/main" id="{567E076C-F71C-452F-8416-9EFDB01ACF8E}"/>
            </a:ext>
          </a:extLst>
        </xdr:cNvPr>
        <xdr:cNvSpPr/>
      </xdr:nvSpPr>
      <xdr:spPr>
        <a:xfrm>
          <a:off x="17464600" y="4004603"/>
          <a:ext cx="51875" cy="53047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412945</xdr:colOff>
      <xdr:row>20</xdr:row>
      <xdr:rowOff>57443</xdr:rowOff>
    </xdr:from>
    <xdr:to>
      <xdr:col>25</xdr:col>
      <xdr:colOff>464820</xdr:colOff>
      <xdr:row>20</xdr:row>
      <xdr:rowOff>110490</xdr:rowOff>
    </xdr:to>
    <xdr:sp macro="" textlink="">
      <xdr:nvSpPr>
        <xdr:cNvPr id="181" name="Oval 180">
          <a:extLst>
            <a:ext uri="{FF2B5EF4-FFF2-40B4-BE49-F238E27FC236}">
              <a16:creationId xmlns:a16="http://schemas.microsoft.com/office/drawing/2014/main" id="{365B7C51-E853-4851-8624-AFCB953B9EC8}"/>
            </a:ext>
          </a:extLst>
        </xdr:cNvPr>
        <xdr:cNvSpPr/>
      </xdr:nvSpPr>
      <xdr:spPr>
        <a:xfrm>
          <a:off x="17796070" y="3886493"/>
          <a:ext cx="51875" cy="53047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336745</xdr:colOff>
      <xdr:row>21</xdr:row>
      <xdr:rowOff>42203</xdr:rowOff>
    </xdr:from>
    <xdr:to>
      <xdr:col>25</xdr:col>
      <xdr:colOff>388620</xdr:colOff>
      <xdr:row>21</xdr:row>
      <xdr:rowOff>95250</xdr:rowOff>
    </xdr:to>
    <xdr:sp macro="" textlink="">
      <xdr:nvSpPr>
        <xdr:cNvPr id="182" name="Oval 181">
          <a:extLst>
            <a:ext uri="{FF2B5EF4-FFF2-40B4-BE49-F238E27FC236}">
              <a16:creationId xmlns:a16="http://schemas.microsoft.com/office/drawing/2014/main" id="{031E72F7-A367-427B-A8D7-68AE2D4AD310}"/>
            </a:ext>
          </a:extLst>
        </xdr:cNvPr>
        <xdr:cNvSpPr/>
      </xdr:nvSpPr>
      <xdr:spPr>
        <a:xfrm>
          <a:off x="17719870" y="4061753"/>
          <a:ext cx="51875" cy="53047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1465</xdr:colOff>
      <xdr:row>20</xdr:row>
      <xdr:rowOff>186983</xdr:rowOff>
    </xdr:from>
    <xdr:to>
      <xdr:col>23</xdr:col>
      <xdr:colOff>53340</xdr:colOff>
      <xdr:row>21</xdr:row>
      <xdr:rowOff>49530</xdr:rowOff>
    </xdr:to>
    <xdr:sp macro="" textlink="">
      <xdr:nvSpPr>
        <xdr:cNvPr id="183" name="Oval 182">
          <a:extLst>
            <a:ext uri="{FF2B5EF4-FFF2-40B4-BE49-F238E27FC236}">
              <a16:creationId xmlns:a16="http://schemas.microsoft.com/office/drawing/2014/main" id="{183F85DE-FC39-48D8-9249-B6BE0C4A75BF}"/>
            </a:ext>
          </a:extLst>
        </xdr:cNvPr>
        <xdr:cNvSpPr/>
      </xdr:nvSpPr>
      <xdr:spPr>
        <a:xfrm>
          <a:off x="15993940" y="4016033"/>
          <a:ext cx="51875" cy="53047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127195</xdr:colOff>
      <xdr:row>19</xdr:row>
      <xdr:rowOff>156503</xdr:rowOff>
    </xdr:from>
    <xdr:to>
      <xdr:col>22</xdr:col>
      <xdr:colOff>179070</xdr:colOff>
      <xdr:row>20</xdr:row>
      <xdr:rowOff>19050</xdr:rowOff>
    </xdr:to>
    <xdr:sp macro="" textlink="">
      <xdr:nvSpPr>
        <xdr:cNvPr id="184" name="Oval 183">
          <a:extLst>
            <a:ext uri="{FF2B5EF4-FFF2-40B4-BE49-F238E27FC236}">
              <a16:creationId xmlns:a16="http://schemas.microsoft.com/office/drawing/2014/main" id="{137A5351-A8E8-4896-ACE3-38ECF67D4AEC}"/>
            </a:ext>
          </a:extLst>
        </xdr:cNvPr>
        <xdr:cNvSpPr/>
      </xdr:nvSpPr>
      <xdr:spPr>
        <a:xfrm>
          <a:off x="15424345" y="3795053"/>
          <a:ext cx="51875" cy="53047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244401</xdr:colOff>
      <xdr:row>18</xdr:row>
      <xdr:rowOff>99475</xdr:rowOff>
    </xdr:from>
    <xdr:to>
      <xdr:col>22</xdr:col>
      <xdr:colOff>290120</xdr:colOff>
      <xdr:row>18</xdr:row>
      <xdr:rowOff>145194</xdr:rowOff>
    </xdr:to>
    <xdr:sp macro="" textlink="">
      <xdr:nvSpPr>
        <xdr:cNvPr id="185" name="Oval 184">
          <a:extLst>
            <a:ext uri="{FF2B5EF4-FFF2-40B4-BE49-F238E27FC236}">
              <a16:creationId xmlns:a16="http://schemas.microsoft.com/office/drawing/2014/main" id="{358FFCAD-7557-4EDF-A966-78B2856AEE70}"/>
            </a:ext>
          </a:extLst>
        </xdr:cNvPr>
        <xdr:cNvSpPr/>
      </xdr:nvSpPr>
      <xdr:spPr>
        <a:xfrm>
          <a:off x="15541551" y="3547525"/>
          <a:ext cx="45719" cy="45719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520626</xdr:colOff>
      <xdr:row>18</xdr:row>
      <xdr:rowOff>61375</xdr:rowOff>
    </xdr:from>
    <xdr:to>
      <xdr:col>22</xdr:col>
      <xdr:colOff>566345</xdr:colOff>
      <xdr:row>18</xdr:row>
      <xdr:rowOff>107094</xdr:rowOff>
    </xdr:to>
    <xdr:sp macro="" textlink="">
      <xdr:nvSpPr>
        <xdr:cNvPr id="186" name="Oval 185">
          <a:extLst>
            <a:ext uri="{FF2B5EF4-FFF2-40B4-BE49-F238E27FC236}">
              <a16:creationId xmlns:a16="http://schemas.microsoft.com/office/drawing/2014/main" id="{AED52467-3795-4D78-A213-102E7FD71ED7}"/>
            </a:ext>
          </a:extLst>
        </xdr:cNvPr>
        <xdr:cNvSpPr/>
      </xdr:nvSpPr>
      <xdr:spPr>
        <a:xfrm>
          <a:off x="15817776" y="3509425"/>
          <a:ext cx="45719" cy="45719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63426</xdr:colOff>
      <xdr:row>19</xdr:row>
      <xdr:rowOff>23275</xdr:rowOff>
    </xdr:from>
    <xdr:to>
      <xdr:col>23</xdr:col>
      <xdr:colOff>109145</xdr:colOff>
      <xdr:row>19</xdr:row>
      <xdr:rowOff>68994</xdr:rowOff>
    </xdr:to>
    <xdr:sp macro="" textlink="">
      <xdr:nvSpPr>
        <xdr:cNvPr id="187" name="Oval 186">
          <a:extLst>
            <a:ext uri="{FF2B5EF4-FFF2-40B4-BE49-F238E27FC236}">
              <a16:creationId xmlns:a16="http://schemas.microsoft.com/office/drawing/2014/main" id="{18E5B114-C310-4335-93D7-3CC9E55E0B36}"/>
            </a:ext>
          </a:extLst>
        </xdr:cNvPr>
        <xdr:cNvSpPr/>
      </xdr:nvSpPr>
      <xdr:spPr>
        <a:xfrm>
          <a:off x="16055901" y="3661825"/>
          <a:ext cx="45719" cy="45719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215826</xdr:colOff>
      <xdr:row>19</xdr:row>
      <xdr:rowOff>175675</xdr:rowOff>
    </xdr:from>
    <xdr:to>
      <xdr:col>23</xdr:col>
      <xdr:colOff>261545</xdr:colOff>
      <xdr:row>20</xdr:row>
      <xdr:rowOff>30894</xdr:rowOff>
    </xdr:to>
    <xdr:sp macro="" textlink="">
      <xdr:nvSpPr>
        <xdr:cNvPr id="188" name="Oval 187">
          <a:extLst>
            <a:ext uri="{FF2B5EF4-FFF2-40B4-BE49-F238E27FC236}">
              <a16:creationId xmlns:a16="http://schemas.microsoft.com/office/drawing/2014/main" id="{A865A5D0-4F97-412F-A373-0A55CAE22DD8}"/>
            </a:ext>
          </a:extLst>
        </xdr:cNvPr>
        <xdr:cNvSpPr/>
      </xdr:nvSpPr>
      <xdr:spPr>
        <a:xfrm>
          <a:off x="16208301" y="3814225"/>
          <a:ext cx="45719" cy="45719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365295</xdr:colOff>
      <xdr:row>19</xdr:row>
      <xdr:rowOff>64306</xdr:rowOff>
    </xdr:from>
    <xdr:to>
      <xdr:col>23</xdr:col>
      <xdr:colOff>411014</xdr:colOff>
      <xdr:row>19</xdr:row>
      <xdr:rowOff>110025</xdr:rowOff>
    </xdr:to>
    <xdr:sp macro="" textlink="">
      <xdr:nvSpPr>
        <xdr:cNvPr id="189" name="Oval 188">
          <a:extLst>
            <a:ext uri="{FF2B5EF4-FFF2-40B4-BE49-F238E27FC236}">
              <a16:creationId xmlns:a16="http://schemas.microsoft.com/office/drawing/2014/main" id="{0CC86AC3-B2C7-4D5D-A2F1-19470D74916A}"/>
            </a:ext>
          </a:extLst>
        </xdr:cNvPr>
        <xdr:cNvSpPr/>
      </xdr:nvSpPr>
      <xdr:spPr>
        <a:xfrm>
          <a:off x="16357770" y="3702856"/>
          <a:ext cx="45719" cy="45719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183588</xdr:colOff>
      <xdr:row>17</xdr:row>
      <xdr:rowOff>14483</xdr:rowOff>
    </xdr:from>
    <xdr:to>
      <xdr:col>22</xdr:col>
      <xdr:colOff>229307</xdr:colOff>
      <xdr:row>17</xdr:row>
      <xdr:rowOff>60202</xdr:rowOff>
    </xdr:to>
    <xdr:sp macro="" textlink="">
      <xdr:nvSpPr>
        <xdr:cNvPr id="190" name="Oval 189">
          <a:extLst>
            <a:ext uri="{FF2B5EF4-FFF2-40B4-BE49-F238E27FC236}">
              <a16:creationId xmlns:a16="http://schemas.microsoft.com/office/drawing/2014/main" id="{686A4793-D3A9-472A-9CD6-BBCF76EE5C5D}"/>
            </a:ext>
          </a:extLst>
        </xdr:cNvPr>
        <xdr:cNvSpPr/>
      </xdr:nvSpPr>
      <xdr:spPr>
        <a:xfrm>
          <a:off x="15480738" y="3272033"/>
          <a:ext cx="45719" cy="45719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253926</xdr:colOff>
      <xdr:row>17</xdr:row>
      <xdr:rowOff>134645</xdr:rowOff>
    </xdr:from>
    <xdr:to>
      <xdr:col>23</xdr:col>
      <xdr:colOff>299645</xdr:colOff>
      <xdr:row>17</xdr:row>
      <xdr:rowOff>180364</xdr:rowOff>
    </xdr:to>
    <xdr:sp macro="" textlink="">
      <xdr:nvSpPr>
        <xdr:cNvPr id="191" name="Oval 190">
          <a:extLst>
            <a:ext uri="{FF2B5EF4-FFF2-40B4-BE49-F238E27FC236}">
              <a16:creationId xmlns:a16="http://schemas.microsoft.com/office/drawing/2014/main" id="{411DC77D-CF9C-469D-BFCE-DEA61EBFC844}"/>
            </a:ext>
          </a:extLst>
        </xdr:cNvPr>
        <xdr:cNvSpPr/>
      </xdr:nvSpPr>
      <xdr:spPr>
        <a:xfrm>
          <a:off x="16246401" y="3392195"/>
          <a:ext cx="45719" cy="45719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567518</xdr:colOff>
      <xdr:row>19</xdr:row>
      <xdr:rowOff>58444</xdr:rowOff>
    </xdr:from>
    <xdr:to>
      <xdr:col>24</xdr:col>
      <xdr:colOff>3637</xdr:colOff>
      <xdr:row>19</xdr:row>
      <xdr:rowOff>104163</xdr:rowOff>
    </xdr:to>
    <xdr:sp macro="" textlink="">
      <xdr:nvSpPr>
        <xdr:cNvPr id="192" name="Oval 191">
          <a:extLst>
            <a:ext uri="{FF2B5EF4-FFF2-40B4-BE49-F238E27FC236}">
              <a16:creationId xmlns:a16="http://schemas.microsoft.com/office/drawing/2014/main" id="{35D3AB82-354E-4F8C-B952-A4B1AB132915}"/>
            </a:ext>
          </a:extLst>
        </xdr:cNvPr>
        <xdr:cNvSpPr/>
      </xdr:nvSpPr>
      <xdr:spPr>
        <a:xfrm>
          <a:off x="16559993" y="3696994"/>
          <a:ext cx="131444" cy="45719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227549</xdr:colOff>
      <xdr:row>17</xdr:row>
      <xdr:rowOff>175676</xdr:rowOff>
    </xdr:from>
    <xdr:to>
      <xdr:col>24</xdr:col>
      <xdr:colOff>273268</xdr:colOff>
      <xdr:row>18</xdr:row>
      <xdr:rowOff>30895</xdr:rowOff>
    </xdr:to>
    <xdr:sp macro="" textlink="">
      <xdr:nvSpPr>
        <xdr:cNvPr id="193" name="Oval 192">
          <a:extLst>
            <a:ext uri="{FF2B5EF4-FFF2-40B4-BE49-F238E27FC236}">
              <a16:creationId xmlns:a16="http://schemas.microsoft.com/office/drawing/2014/main" id="{4B1ABC5F-0B67-4850-9489-299B5487A885}"/>
            </a:ext>
          </a:extLst>
        </xdr:cNvPr>
        <xdr:cNvSpPr/>
      </xdr:nvSpPr>
      <xdr:spPr>
        <a:xfrm>
          <a:off x="16915349" y="3433226"/>
          <a:ext cx="45719" cy="45719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602687</xdr:colOff>
      <xdr:row>17</xdr:row>
      <xdr:rowOff>58445</xdr:rowOff>
    </xdr:from>
    <xdr:to>
      <xdr:col>24</xdr:col>
      <xdr:colOff>38806</xdr:colOff>
      <xdr:row>17</xdr:row>
      <xdr:rowOff>104164</xdr:rowOff>
    </xdr:to>
    <xdr:sp macro="" textlink="">
      <xdr:nvSpPr>
        <xdr:cNvPr id="194" name="Oval 193">
          <a:extLst>
            <a:ext uri="{FF2B5EF4-FFF2-40B4-BE49-F238E27FC236}">
              <a16:creationId xmlns:a16="http://schemas.microsoft.com/office/drawing/2014/main" id="{FE0F5D6A-7DBB-4671-836A-D88913BE27E8}"/>
            </a:ext>
          </a:extLst>
        </xdr:cNvPr>
        <xdr:cNvSpPr/>
      </xdr:nvSpPr>
      <xdr:spPr>
        <a:xfrm>
          <a:off x="16595162" y="3315995"/>
          <a:ext cx="131444" cy="45719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207033</xdr:colOff>
      <xdr:row>19</xdr:row>
      <xdr:rowOff>78960</xdr:rowOff>
    </xdr:from>
    <xdr:to>
      <xdr:col>24</xdr:col>
      <xdr:colOff>252752</xdr:colOff>
      <xdr:row>19</xdr:row>
      <xdr:rowOff>124679</xdr:rowOff>
    </xdr:to>
    <xdr:sp macro="" textlink="">
      <xdr:nvSpPr>
        <xdr:cNvPr id="195" name="Oval 194">
          <a:extLst>
            <a:ext uri="{FF2B5EF4-FFF2-40B4-BE49-F238E27FC236}">
              <a16:creationId xmlns:a16="http://schemas.microsoft.com/office/drawing/2014/main" id="{2B772725-EB6D-4867-9443-7DC81B80EB2A}"/>
            </a:ext>
          </a:extLst>
        </xdr:cNvPr>
        <xdr:cNvSpPr/>
      </xdr:nvSpPr>
      <xdr:spPr>
        <a:xfrm>
          <a:off x="16894833" y="3717510"/>
          <a:ext cx="45719" cy="45719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494249</xdr:colOff>
      <xdr:row>18</xdr:row>
      <xdr:rowOff>46722</xdr:rowOff>
    </xdr:from>
    <xdr:to>
      <xdr:col>24</xdr:col>
      <xdr:colOff>539968</xdr:colOff>
      <xdr:row>18</xdr:row>
      <xdr:rowOff>92441</xdr:rowOff>
    </xdr:to>
    <xdr:sp macro="" textlink="">
      <xdr:nvSpPr>
        <xdr:cNvPr id="196" name="Oval 195">
          <a:extLst>
            <a:ext uri="{FF2B5EF4-FFF2-40B4-BE49-F238E27FC236}">
              <a16:creationId xmlns:a16="http://schemas.microsoft.com/office/drawing/2014/main" id="{99575C88-17CA-454D-A151-74DC4AD14462}"/>
            </a:ext>
          </a:extLst>
        </xdr:cNvPr>
        <xdr:cNvSpPr/>
      </xdr:nvSpPr>
      <xdr:spPr>
        <a:xfrm>
          <a:off x="17182049" y="3494772"/>
          <a:ext cx="45719" cy="45719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450287</xdr:colOff>
      <xdr:row>19</xdr:row>
      <xdr:rowOff>134645</xdr:rowOff>
    </xdr:from>
    <xdr:to>
      <xdr:col>24</xdr:col>
      <xdr:colOff>496006</xdr:colOff>
      <xdr:row>19</xdr:row>
      <xdr:rowOff>180364</xdr:rowOff>
    </xdr:to>
    <xdr:sp macro="" textlink="">
      <xdr:nvSpPr>
        <xdr:cNvPr id="197" name="Oval 196">
          <a:extLst>
            <a:ext uri="{FF2B5EF4-FFF2-40B4-BE49-F238E27FC236}">
              <a16:creationId xmlns:a16="http://schemas.microsoft.com/office/drawing/2014/main" id="{51F6543E-5006-46AC-B3D0-C2A3EC0A1EEA}"/>
            </a:ext>
          </a:extLst>
        </xdr:cNvPr>
        <xdr:cNvSpPr/>
      </xdr:nvSpPr>
      <xdr:spPr>
        <a:xfrm>
          <a:off x="17138087" y="3773195"/>
          <a:ext cx="45719" cy="45719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157210</xdr:colOff>
      <xdr:row>18</xdr:row>
      <xdr:rowOff>40860</xdr:rowOff>
    </xdr:from>
    <xdr:to>
      <xdr:col>25</xdr:col>
      <xdr:colOff>202929</xdr:colOff>
      <xdr:row>18</xdr:row>
      <xdr:rowOff>86579</xdr:rowOff>
    </xdr:to>
    <xdr:sp macro="" textlink="">
      <xdr:nvSpPr>
        <xdr:cNvPr id="198" name="Oval 197">
          <a:extLst>
            <a:ext uri="{FF2B5EF4-FFF2-40B4-BE49-F238E27FC236}">
              <a16:creationId xmlns:a16="http://schemas.microsoft.com/office/drawing/2014/main" id="{D57CC962-8E0C-43B6-A10F-90BDAC827537}"/>
            </a:ext>
          </a:extLst>
        </xdr:cNvPr>
        <xdr:cNvSpPr/>
      </xdr:nvSpPr>
      <xdr:spPr>
        <a:xfrm>
          <a:off x="17540335" y="3488910"/>
          <a:ext cx="45719" cy="45719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353571</xdr:colOff>
      <xdr:row>19</xdr:row>
      <xdr:rowOff>5691</xdr:rowOff>
    </xdr:from>
    <xdr:to>
      <xdr:col>25</xdr:col>
      <xdr:colOff>399290</xdr:colOff>
      <xdr:row>19</xdr:row>
      <xdr:rowOff>51410</xdr:rowOff>
    </xdr:to>
    <xdr:sp macro="" textlink="">
      <xdr:nvSpPr>
        <xdr:cNvPr id="199" name="Oval 198">
          <a:extLst>
            <a:ext uri="{FF2B5EF4-FFF2-40B4-BE49-F238E27FC236}">
              <a16:creationId xmlns:a16="http://schemas.microsoft.com/office/drawing/2014/main" id="{0B9F35D9-DBC0-4FE4-A8EA-F08DED8F1306}"/>
            </a:ext>
          </a:extLst>
        </xdr:cNvPr>
        <xdr:cNvSpPr/>
      </xdr:nvSpPr>
      <xdr:spPr>
        <a:xfrm>
          <a:off x="17736696" y="3644241"/>
          <a:ext cx="45719" cy="45719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576309</xdr:colOff>
      <xdr:row>17</xdr:row>
      <xdr:rowOff>26207</xdr:rowOff>
    </xdr:from>
    <xdr:to>
      <xdr:col>25</xdr:col>
      <xdr:colOff>12428</xdr:colOff>
      <xdr:row>17</xdr:row>
      <xdr:rowOff>71926</xdr:rowOff>
    </xdr:to>
    <xdr:sp macro="" textlink="">
      <xdr:nvSpPr>
        <xdr:cNvPr id="200" name="Oval 199">
          <a:extLst>
            <a:ext uri="{FF2B5EF4-FFF2-40B4-BE49-F238E27FC236}">
              <a16:creationId xmlns:a16="http://schemas.microsoft.com/office/drawing/2014/main" id="{70F3C796-8FC2-42A6-AE15-F5DF2AE25573}"/>
            </a:ext>
          </a:extLst>
        </xdr:cNvPr>
        <xdr:cNvSpPr/>
      </xdr:nvSpPr>
      <xdr:spPr>
        <a:xfrm>
          <a:off x="17264109" y="3283757"/>
          <a:ext cx="131444" cy="45719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377017</xdr:colOff>
      <xdr:row>17</xdr:row>
      <xdr:rowOff>40861</xdr:rowOff>
    </xdr:from>
    <xdr:to>
      <xdr:col>25</xdr:col>
      <xdr:colOff>422736</xdr:colOff>
      <xdr:row>17</xdr:row>
      <xdr:rowOff>86580</xdr:rowOff>
    </xdr:to>
    <xdr:sp macro="" textlink="">
      <xdr:nvSpPr>
        <xdr:cNvPr id="201" name="Oval 200">
          <a:extLst>
            <a:ext uri="{FF2B5EF4-FFF2-40B4-BE49-F238E27FC236}">
              <a16:creationId xmlns:a16="http://schemas.microsoft.com/office/drawing/2014/main" id="{EF16C471-3F4A-44D2-BDE6-37B9405272F4}"/>
            </a:ext>
          </a:extLst>
        </xdr:cNvPr>
        <xdr:cNvSpPr/>
      </xdr:nvSpPr>
      <xdr:spPr>
        <a:xfrm>
          <a:off x="17760142" y="3298411"/>
          <a:ext cx="45719" cy="45719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563613</xdr:colOff>
      <xdr:row>22</xdr:row>
      <xdr:rowOff>25423</xdr:rowOff>
    </xdr:from>
    <xdr:to>
      <xdr:col>21</xdr:col>
      <xdr:colOff>669471</xdr:colOff>
      <xdr:row>31</xdr:row>
      <xdr:rowOff>167059</xdr:rowOff>
    </xdr:to>
    <xdr:cxnSp macro="">
      <xdr:nvCxnSpPr>
        <xdr:cNvPr id="202" name="Elbow Connector 246">
          <a:extLst>
            <a:ext uri="{FF2B5EF4-FFF2-40B4-BE49-F238E27FC236}">
              <a16:creationId xmlns:a16="http://schemas.microsoft.com/office/drawing/2014/main" id="{0DEBAE24-82F7-439A-9B90-8C203F105C0A}"/>
            </a:ext>
          </a:extLst>
        </xdr:cNvPr>
        <xdr:cNvCxnSpPr/>
      </xdr:nvCxnSpPr>
      <xdr:spPr>
        <a:xfrm flipV="1">
          <a:off x="1951542" y="4202816"/>
          <a:ext cx="13957929" cy="1869743"/>
        </a:xfrm>
        <a:prstGeom prst="bentConnector3">
          <a:avLst>
            <a:gd name="adj1" fmla="val 83964"/>
          </a:avLst>
        </a:prstGeom>
        <a:ln w="38100"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600807</xdr:colOff>
      <xdr:row>21</xdr:row>
      <xdr:rowOff>908</xdr:rowOff>
    </xdr:from>
    <xdr:to>
      <xdr:col>24</xdr:col>
      <xdr:colOff>2291</xdr:colOff>
      <xdr:row>21</xdr:row>
      <xdr:rowOff>124558</xdr:rowOff>
    </xdr:to>
    <xdr:cxnSp macro="">
      <xdr:nvCxnSpPr>
        <xdr:cNvPr id="203" name="Elbow Connector 247">
          <a:extLst>
            <a:ext uri="{FF2B5EF4-FFF2-40B4-BE49-F238E27FC236}">
              <a16:creationId xmlns:a16="http://schemas.microsoft.com/office/drawing/2014/main" id="{EA1C2A14-795F-4AFA-AD84-A420E7F281AE}"/>
            </a:ext>
          </a:extLst>
        </xdr:cNvPr>
        <xdr:cNvCxnSpPr>
          <a:endCxn id="156" idx="0"/>
        </xdr:cNvCxnSpPr>
      </xdr:nvCxnSpPr>
      <xdr:spPr>
        <a:xfrm flipV="1">
          <a:off x="10335357" y="4020458"/>
          <a:ext cx="6354734" cy="123650"/>
        </a:xfrm>
        <a:prstGeom prst="bentConnector2">
          <a:avLst/>
        </a:prstGeom>
        <a:ln w="38100"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30</xdr:col>
      <xdr:colOff>604712</xdr:colOff>
      <xdr:row>20</xdr:row>
      <xdr:rowOff>11299</xdr:rowOff>
    </xdr:from>
    <xdr:to>
      <xdr:col>32</xdr:col>
      <xdr:colOff>604711</xdr:colOff>
      <xdr:row>22</xdr:row>
      <xdr:rowOff>172740</xdr:rowOff>
    </xdr:to>
    <xdr:sp macro="" textlink="">
      <xdr:nvSpPr>
        <xdr:cNvPr id="204" name="Rectangle 203">
          <a:extLst>
            <a:ext uri="{FF2B5EF4-FFF2-40B4-BE49-F238E27FC236}">
              <a16:creationId xmlns:a16="http://schemas.microsoft.com/office/drawing/2014/main" id="{7F8FD4BB-7D2D-4C23-883A-88B865F35EC8}"/>
            </a:ext>
          </a:extLst>
        </xdr:cNvPr>
        <xdr:cNvSpPr/>
      </xdr:nvSpPr>
      <xdr:spPr>
        <a:xfrm>
          <a:off x="21464462" y="3840349"/>
          <a:ext cx="1390649" cy="542441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Fresh</a:t>
          </a:r>
          <a:r>
            <a:rPr lang="en-US" sz="1400" b="1" baseline="0"/>
            <a:t> Cumene</a:t>
          </a:r>
          <a:endParaRPr lang="en-US" sz="1400" b="1"/>
        </a:p>
      </xdr:txBody>
    </xdr:sp>
    <xdr:clientData/>
  </xdr:twoCellAnchor>
  <xdr:twoCellAnchor>
    <xdr:from>
      <xdr:col>25</xdr:col>
      <xdr:colOff>604345</xdr:colOff>
      <xdr:row>21</xdr:row>
      <xdr:rowOff>119180</xdr:rowOff>
    </xdr:from>
    <xdr:to>
      <xdr:col>30</xdr:col>
      <xdr:colOff>604712</xdr:colOff>
      <xdr:row>21</xdr:row>
      <xdr:rowOff>119234</xdr:rowOff>
    </xdr:to>
    <xdr:cxnSp macro="">
      <xdr:nvCxnSpPr>
        <xdr:cNvPr id="205" name="Elbow Connector 250">
          <a:extLst>
            <a:ext uri="{FF2B5EF4-FFF2-40B4-BE49-F238E27FC236}">
              <a16:creationId xmlns:a16="http://schemas.microsoft.com/office/drawing/2014/main" id="{A703F074-4EEF-4DB4-BF6E-F86211FEE7E9}"/>
            </a:ext>
          </a:extLst>
        </xdr:cNvPr>
        <xdr:cNvCxnSpPr/>
      </xdr:nvCxnSpPr>
      <xdr:spPr>
        <a:xfrm>
          <a:off x="17987470" y="4138730"/>
          <a:ext cx="3476992" cy="54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367043</xdr:colOff>
      <xdr:row>15</xdr:row>
      <xdr:rowOff>147319</xdr:rowOff>
    </xdr:from>
    <xdr:to>
      <xdr:col>2</xdr:col>
      <xdr:colOff>317868</xdr:colOff>
      <xdr:row>19</xdr:row>
      <xdr:rowOff>160161</xdr:rowOff>
    </xdr:to>
    <xdr:pic>
      <xdr:nvPicPr>
        <xdr:cNvPr id="206" name="Picture 205">
          <a:extLst>
            <a:ext uri="{FF2B5EF4-FFF2-40B4-BE49-F238E27FC236}">
              <a16:creationId xmlns:a16="http://schemas.microsoft.com/office/drawing/2014/main" id="{66F848F3-6AF6-4965-AD22-59E78FA261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403496">
          <a:off x="1062368" y="3023869"/>
          <a:ext cx="671364" cy="774842"/>
        </a:xfrm>
        <a:prstGeom prst="rect">
          <a:avLst/>
        </a:prstGeom>
      </xdr:spPr>
    </xdr:pic>
    <xdr:clientData/>
  </xdr:twoCellAnchor>
  <xdr:twoCellAnchor>
    <xdr:from>
      <xdr:col>30</xdr:col>
      <xdr:colOff>606312</xdr:colOff>
      <xdr:row>2</xdr:row>
      <xdr:rowOff>106548</xdr:rowOff>
    </xdr:from>
    <xdr:to>
      <xdr:col>32</xdr:col>
      <xdr:colOff>606311</xdr:colOff>
      <xdr:row>5</xdr:row>
      <xdr:rowOff>77489</xdr:rowOff>
    </xdr:to>
    <xdr:sp macro="" textlink="">
      <xdr:nvSpPr>
        <xdr:cNvPr id="207" name="Rectangle 206">
          <a:extLst>
            <a:ext uri="{FF2B5EF4-FFF2-40B4-BE49-F238E27FC236}">
              <a16:creationId xmlns:a16="http://schemas.microsoft.com/office/drawing/2014/main" id="{F04E0AEC-8485-4697-AF28-F6FF85D74CA4}"/>
            </a:ext>
          </a:extLst>
        </xdr:cNvPr>
        <xdr:cNvSpPr/>
      </xdr:nvSpPr>
      <xdr:spPr>
        <a:xfrm>
          <a:off x="21466062" y="601848"/>
          <a:ext cx="1390649" cy="513866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Fresh</a:t>
          </a:r>
          <a:r>
            <a:rPr lang="en-US" sz="1400" b="1" baseline="0"/>
            <a:t> Cumene</a:t>
          </a:r>
          <a:endParaRPr lang="en-US" sz="1400" b="1"/>
        </a:p>
      </xdr:txBody>
    </xdr:sp>
    <xdr:clientData/>
  </xdr:twoCellAnchor>
  <xdr:twoCellAnchor>
    <xdr:from>
      <xdr:col>13</xdr:col>
      <xdr:colOff>72</xdr:colOff>
      <xdr:row>3</xdr:row>
      <xdr:rowOff>187269</xdr:rowOff>
    </xdr:from>
    <xdr:to>
      <xdr:col>30</xdr:col>
      <xdr:colOff>606312</xdr:colOff>
      <xdr:row>12</xdr:row>
      <xdr:rowOff>5443</xdr:rowOff>
    </xdr:to>
    <xdr:cxnSp macro="">
      <xdr:nvCxnSpPr>
        <xdr:cNvPr id="208" name="Elbow Connector 253">
          <a:extLst>
            <a:ext uri="{FF2B5EF4-FFF2-40B4-BE49-F238E27FC236}">
              <a16:creationId xmlns:a16="http://schemas.microsoft.com/office/drawing/2014/main" id="{C52BF8C0-D8C0-4375-B5FE-AAA45ECDC21A}"/>
            </a:ext>
          </a:extLst>
        </xdr:cNvPr>
        <xdr:cNvCxnSpPr>
          <a:stCxn id="8" idx="0"/>
          <a:endCxn id="207" idx="1"/>
        </xdr:cNvCxnSpPr>
      </xdr:nvCxnSpPr>
      <xdr:spPr>
        <a:xfrm rot="5400000" flipH="1" flipV="1">
          <a:off x="14514918" y="-4621602"/>
          <a:ext cx="1475524" cy="12426765"/>
        </a:xfrm>
        <a:prstGeom prst="bentConnector2">
          <a:avLst/>
        </a:prstGeom>
        <a:ln w="38100"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73</xdr:colOff>
      <xdr:row>3</xdr:row>
      <xdr:rowOff>187269</xdr:rowOff>
    </xdr:from>
    <xdr:to>
      <xdr:col>30</xdr:col>
      <xdr:colOff>606312</xdr:colOff>
      <xdr:row>12</xdr:row>
      <xdr:rowOff>5443</xdr:rowOff>
    </xdr:to>
    <xdr:cxnSp macro="">
      <xdr:nvCxnSpPr>
        <xdr:cNvPr id="209" name="Elbow Connector 254">
          <a:extLst>
            <a:ext uri="{FF2B5EF4-FFF2-40B4-BE49-F238E27FC236}">
              <a16:creationId xmlns:a16="http://schemas.microsoft.com/office/drawing/2014/main" id="{8F5EB9C3-233A-4AF6-BBB5-A070C07DFAC6}"/>
            </a:ext>
          </a:extLst>
        </xdr:cNvPr>
        <xdr:cNvCxnSpPr>
          <a:stCxn id="109" idx="0"/>
          <a:endCxn id="207" idx="1"/>
        </xdr:cNvCxnSpPr>
      </xdr:nvCxnSpPr>
      <xdr:spPr>
        <a:xfrm rot="5400000" flipH="1" flipV="1">
          <a:off x="18339206" y="-797314"/>
          <a:ext cx="1475524" cy="4778189"/>
        </a:xfrm>
        <a:prstGeom prst="bentConnector2">
          <a:avLst/>
        </a:prstGeom>
        <a:ln w="38100"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284508</xdr:colOff>
      <xdr:row>20</xdr:row>
      <xdr:rowOff>9525</xdr:rowOff>
    </xdr:from>
    <xdr:to>
      <xdr:col>4</xdr:col>
      <xdr:colOff>284508</xdr:colOff>
      <xdr:row>21</xdr:row>
      <xdr:rowOff>95250</xdr:rowOff>
    </xdr:to>
    <xdr:cxnSp macro="">
      <xdr:nvCxnSpPr>
        <xdr:cNvPr id="210" name="Straight Connector 209">
          <a:extLst>
            <a:ext uri="{FF2B5EF4-FFF2-40B4-BE49-F238E27FC236}">
              <a16:creationId xmlns:a16="http://schemas.microsoft.com/office/drawing/2014/main" id="{8E7CDD6E-B152-47A0-A7CA-80C118B7C643}"/>
            </a:ext>
          </a:extLst>
        </xdr:cNvPr>
        <xdr:cNvCxnSpPr/>
      </xdr:nvCxnSpPr>
      <xdr:spPr>
        <a:xfrm>
          <a:off x="3065808" y="3838575"/>
          <a:ext cx="0" cy="2762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285750</xdr:colOff>
      <xdr:row>31</xdr:row>
      <xdr:rowOff>9525</xdr:rowOff>
    </xdr:from>
    <xdr:to>
      <xdr:col>4</xdr:col>
      <xdr:colOff>285750</xdr:colOff>
      <xdr:row>32</xdr:row>
      <xdr:rowOff>7327</xdr:rowOff>
    </xdr:to>
    <xdr:cxnSp macro="">
      <xdr:nvCxnSpPr>
        <xdr:cNvPr id="211" name="Straight Connector 210">
          <a:extLst>
            <a:ext uri="{FF2B5EF4-FFF2-40B4-BE49-F238E27FC236}">
              <a16:creationId xmlns:a16="http://schemas.microsoft.com/office/drawing/2014/main" id="{13106A85-A29A-4F34-89EA-3C675CD3E018}"/>
            </a:ext>
          </a:extLst>
        </xdr:cNvPr>
        <xdr:cNvCxnSpPr/>
      </xdr:nvCxnSpPr>
      <xdr:spPr>
        <a:xfrm>
          <a:off x="3067050" y="5943600"/>
          <a:ext cx="0" cy="17877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296103</xdr:colOff>
      <xdr:row>20</xdr:row>
      <xdr:rowOff>4555</xdr:rowOff>
    </xdr:from>
    <xdr:to>
      <xdr:col>7</xdr:col>
      <xdr:colOff>296103</xdr:colOff>
      <xdr:row>21</xdr:row>
      <xdr:rowOff>90280</xdr:rowOff>
    </xdr:to>
    <xdr:cxnSp macro="">
      <xdr:nvCxnSpPr>
        <xdr:cNvPr id="212" name="Straight Connector 211">
          <a:extLst>
            <a:ext uri="{FF2B5EF4-FFF2-40B4-BE49-F238E27FC236}">
              <a16:creationId xmlns:a16="http://schemas.microsoft.com/office/drawing/2014/main" id="{D030DF1C-C3F4-4B5D-A203-3FFA4E08E04D}"/>
            </a:ext>
          </a:extLst>
        </xdr:cNvPr>
        <xdr:cNvCxnSpPr/>
      </xdr:nvCxnSpPr>
      <xdr:spPr>
        <a:xfrm>
          <a:off x="5163378" y="3833605"/>
          <a:ext cx="0" cy="2762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16</xdr:col>
      <xdr:colOff>439616</xdr:colOff>
      <xdr:row>23</xdr:row>
      <xdr:rowOff>43961</xdr:rowOff>
    </xdr:from>
    <xdr:to>
      <xdr:col>17</xdr:col>
      <xdr:colOff>142187</xdr:colOff>
      <xdr:row>25</xdr:row>
      <xdr:rowOff>14654</xdr:rowOff>
    </xdr:to>
    <xdr:pic>
      <xdr:nvPicPr>
        <xdr:cNvPr id="213" name="Picture 212">
          <a:extLst>
            <a:ext uri="{FF2B5EF4-FFF2-40B4-BE49-F238E27FC236}">
              <a16:creationId xmlns:a16="http://schemas.microsoft.com/office/drawing/2014/main" id="{EDE24062-4F16-4321-A74D-45A0D0FB12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5785" t="17022" r="24214" b="22695"/>
        <a:stretch/>
      </xdr:blipFill>
      <xdr:spPr>
        <a:xfrm>
          <a:off x="11564816" y="4444511"/>
          <a:ext cx="426471" cy="351693"/>
        </a:xfrm>
        <a:prstGeom prst="ellipse">
          <a:avLst/>
        </a:prstGeom>
      </xdr:spPr>
    </xdr:pic>
    <xdr:clientData/>
  </xdr:twoCellAnchor>
  <xdr:twoCellAnchor>
    <xdr:from>
      <xdr:col>27</xdr:col>
      <xdr:colOff>604344</xdr:colOff>
      <xdr:row>21</xdr:row>
      <xdr:rowOff>133104</xdr:rowOff>
    </xdr:from>
    <xdr:to>
      <xdr:col>27</xdr:col>
      <xdr:colOff>608468</xdr:colOff>
      <xdr:row>26</xdr:row>
      <xdr:rowOff>13139</xdr:rowOff>
    </xdr:to>
    <xdr:cxnSp macro="">
      <xdr:nvCxnSpPr>
        <xdr:cNvPr id="215" name="Straight Arrow Connector 214">
          <a:extLst>
            <a:ext uri="{FF2B5EF4-FFF2-40B4-BE49-F238E27FC236}">
              <a16:creationId xmlns:a16="http://schemas.microsoft.com/office/drawing/2014/main" id="{B9067FE3-64A9-4731-809E-7144D72FA480}"/>
            </a:ext>
          </a:extLst>
        </xdr:cNvPr>
        <xdr:cNvCxnSpPr/>
      </xdr:nvCxnSpPr>
      <xdr:spPr>
        <a:xfrm flipH="1">
          <a:off x="19378119" y="4152654"/>
          <a:ext cx="4124" cy="832535"/>
        </a:xfrm>
        <a:prstGeom prst="straightConnector1">
          <a:avLst/>
        </a:prstGeom>
        <a:ln>
          <a:prstDash val="dash"/>
          <a:headEnd type="none" w="med" len="med"/>
          <a:tailEnd type="none" w="med" len="med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404230</xdr:colOff>
      <xdr:row>23</xdr:row>
      <xdr:rowOff>4648</xdr:rowOff>
    </xdr:from>
    <xdr:to>
      <xdr:col>28</xdr:col>
      <xdr:colOff>204439</xdr:colOff>
      <xdr:row>25</xdr:row>
      <xdr:rowOff>41818</xdr:rowOff>
    </xdr:to>
    <xdr:sp macro="" textlink="">
      <xdr:nvSpPr>
        <xdr:cNvPr id="216" name="Oval 215">
          <a:extLst>
            <a:ext uri="{FF2B5EF4-FFF2-40B4-BE49-F238E27FC236}">
              <a16:creationId xmlns:a16="http://schemas.microsoft.com/office/drawing/2014/main" id="{DA1FC3D3-647E-42A4-989F-3C850161D678}"/>
            </a:ext>
          </a:extLst>
        </xdr:cNvPr>
        <xdr:cNvSpPr/>
      </xdr:nvSpPr>
      <xdr:spPr>
        <a:xfrm>
          <a:off x="19178005" y="4405198"/>
          <a:ext cx="495534" cy="418170"/>
        </a:xfrm>
        <a:prstGeom prst="ellipse">
          <a:avLst/>
        </a:prstGeom>
        <a:ln>
          <a:solidFill>
            <a:schemeClr val="tx1"/>
          </a:solidFill>
        </a:ln>
        <a:effectLst>
          <a:glow rad="101600">
            <a:schemeClr val="accent4">
              <a:satMod val="175000"/>
              <a:alpha val="40000"/>
            </a:schemeClr>
          </a:glo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27</xdr:col>
      <xdr:colOff>598884</xdr:colOff>
      <xdr:row>20</xdr:row>
      <xdr:rowOff>57151</xdr:rowOff>
    </xdr:from>
    <xdr:ext cx="405432" cy="264560"/>
    <xdr:sp macro="" textlink="">
      <xdr:nvSpPr>
        <xdr:cNvPr id="217" name="TextBox 216">
          <a:extLst>
            <a:ext uri="{FF2B5EF4-FFF2-40B4-BE49-F238E27FC236}">
              <a16:creationId xmlns:a16="http://schemas.microsoft.com/office/drawing/2014/main" id="{E25E5B3D-B9E5-4780-8326-F4BFEAE62106}"/>
            </a:ext>
          </a:extLst>
        </xdr:cNvPr>
        <xdr:cNvSpPr txBox="1"/>
      </xdr:nvSpPr>
      <xdr:spPr>
        <a:xfrm>
          <a:off x="19372659" y="3886201"/>
          <a:ext cx="40543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solidFill>
                <a:srgbClr val="0070C0"/>
              </a:solidFill>
            </a:rPr>
            <a:t>RCS</a:t>
          </a:r>
        </a:p>
      </xdr:txBody>
    </xdr:sp>
    <xdr:clientData/>
  </xdr:oneCellAnchor>
  <xdr:oneCellAnchor>
    <xdr:from>
      <xdr:col>27</xdr:col>
      <xdr:colOff>439616</xdr:colOff>
      <xdr:row>23</xdr:row>
      <xdr:rowOff>8557</xdr:rowOff>
    </xdr:from>
    <xdr:ext cx="408975" cy="418050"/>
    <xdr:pic>
      <xdr:nvPicPr>
        <xdr:cNvPr id="218" name="Picture 217">
          <a:extLst>
            <a:ext uri="{FF2B5EF4-FFF2-40B4-BE49-F238E27FC236}">
              <a16:creationId xmlns:a16="http://schemas.microsoft.com/office/drawing/2014/main" id="{A8AB3EFA-7175-490F-8D07-47DA70F4DE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5785" t="17022" r="24214" b="22695"/>
        <a:stretch/>
      </xdr:blipFill>
      <xdr:spPr>
        <a:xfrm>
          <a:off x="19593525" y="4320784"/>
          <a:ext cx="408975" cy="418050"/>
        </a:xfrm>
        <a:prstGeom prst="ellipse">
          <a:avLst/>
        </a:prstGeom>
      </xdr:spPr>
    </xdr:pic>
    <xdr:clientData/>
  </xdr:oneCellAnchor>
  <xdr:twoCellAnchor editAs="oneCell">
    <xdr:from>
      <xdr:col>32</xdr:col>
      <xdr:colOff>603661</xdr:colOff>
      <xdr:row>29</xdr:row>
      <xdr:rowOff>51955</xdr:rowOff>
    </xdr:from>
    <xdr:to>
      <xdr:col>33</xdr:col>
      <xdr:colOff>479515</xdr:colOff>
      <xdr:row>31</xdr:row>
      <xdr:rowOff>166996</xdr:rowOff>
    </xdr:to>
    <xdr:pic>
      <xdr:nvPicPr>
        <xdr:cNvPr id="219" name="Picture 218" descr="Picture 65">
          <a:extLst>
            <a:ext uri="{FF2B5EF4-FFF2-40B4-BE49-F238E27FC236}">
              <a16:creationId xmlns:a16="http://schemas.microsoft.com/office/drawing/2014/main" id="{CD4C5ED0-7B2C-4571-8337-9D3E3CE33E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/>
        </a:blip>
        <a:srcRect l="13676" t="7605" r="5196" b="9577"/>
        <a:stretch>
          <a:fillRect/>
        </a:stretch>
      </xdr:blipFill>
      <xdr:spPr>
        <a:xfrm>
          <a:off x="22854061" y="5605030"/>
          <a:ext cx="599756" cy="527338"/>
        </a:xfrm>
        <a:prstGeom prst="rect">
          <a:avLst/>
        </a:prstGeom>
        <a:ln w="12700">
          <a:miter lim="400000"/>
        </a:ln>
      </xdr:spPr>
    </xdr:pic>
    <xdr:clientData/>
  </xdr:twoCellAnchor>
  <xdr:twoCellAnchor>
    <xdr:from>
      <xdr:col>28</xdr:col>
      <xdr:colOff>138545</xdr:colOff>
      <xdr:row>31</xdr:row>
      <xdr:rowOff>155864</xdr:rowOff>
    </xdr:from>
    <xdr:to>
      <xdr:col>36</xdr:col>
      <xdr:colOff>91622</xdr:colOff>
      <xdr:row>34</xdr:row>
      <xdr:rowOff>10131</xdr:rowOff>
    </xdr:to>
    <xdr:sp macro="" textlink="">
      <xdr:nvSpPr>
        <xdr:cNvPr id="220" name="TextBox 66">
          <a:extLst>
            <a:ext uri="{FF2B5EF4-FFF2-40B4-BE49-F238E27FC236}">
              <a16:creationId xmlns:a16="http://schemas.microsoft.com/office/drawing/2014/main" id="{6268136D-6E49-4CD2-8613-D280EF7A6237}"/>
            </a:ext>
          </a:extLst>
        </xdr:cNvPr>
        <xdr:cNvSpPr txBox="1"/>
      </xdr:nvSpPr>
      <xdr:spPr>
        <a:xfrm>
          <a:off x="19607645" y="6089939"/>
          <a:ext cx="5515677" cy="406717"/>
        </a:xfrm>
        <a:prstGeom prst="rect">
          <a:avLst/>
        </a:prstGeom>
        <a:ln w="12700">
          <a:miter lim="400000"/>
        </a:ln>
        <a:extLst>
          <a:ext uri="{C572A759-6A51-4108-AA02-DFA0A04FC94B}">
            <ma14:wrappingTextBoxFlag xmlns:r="http://schemas.openxmlformats.org/officeDocument/2006/relationships" xmlns:p="http://schemas.openxmlformats.org/presentationml/2006/main" xmlns="" xmlns:m="http://schemas.openxmlformats.org/officeDocument/2006/math" xmlns:a14="http://schemas.microsoft.com/office/drawing/2010/main" xmlns:ma14="http://schemas.microsoft.com/office/mac/drawingml/2011/main" xmlns:lc="http://schemas.openxmlformats.org/drawingml/2006/lockedCanvas" val="1"/>
          </a:ext>
        </a:extLst>
      </xdr:spPr>
      <xdr:txBody>
        <a:bodyPr wrap="square" tIns="91439" bIns="91439">
          <a:spAutoFit/>
        </a:bodyPr>
        <a:lstStyle>
          <a:defPPr marL="0" marR="0" indent="0" algn="l" defTabSz="914400" rtl="0" fontAlgn="auto" latinLnBrk="1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1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</a:defRPr>
          </a:defPPr>
          <a:lvl1pPr marL="0" marR="0" indent="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1pPr>
          <a:lvl2pPr marL="0" marR="0" indent="22860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2pPr>
          <a:lvl3pPr marL="0" marR="0" indent="45720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3pPr>
          <a:lvl4pPr marL="0" marR="0" indent="68580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4pPr>
          <a:lvl5pPr marL="0" marR="0" indent="91440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5pPr>
          <a:lvl6pPr marL="0" marR="0" indent="114300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6pPr>
          <a:lvl7pPr marL="0" marR="0" indent="137160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7pPr>
          <a:lvl8pPr marL="0" marR="0" indent="160020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8pPr>
          <a:lvl9pPr marL="0" marR="0" indent="182880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9pPr>
        </a:lstStyle>
        <a:p>
          <a:r>
            <a:rPr sz="1400"/>
            <a:t>ADVANCE ANALYTIC®</a:t>
          </a:r>
        </a:p>
      </xdr:txBody>
    </xdr:sp>
    <xdr:clientData/>
  </xdr:twoCellAnchor>
  <xdr:twoCellAnchor>
    <xdr:from>
      <xdr:col>2</xdr:col>
      <xdr:colOff>182891</xdr:colOff>
      <xdr:row>4</xdr:row>
      <xdr:rowOff>53088</xdr:rowOff>
    </xdr:from>
    <xdr:to>
      <xdr:col>2</xdr:col>
      <xdr:colOff>407994</xdr:colOff>
      <xdr:row>5</xdr:row>
      <xdr:rowOff>80544</xdr:rowOff>
    </xdr:to>
    <xdr:sp macro="[0]!Rectangle70_Click" textlink="">
      <xdr:nvSpPr>
        <xdr:cNvPr id="71" name="Rectangle 70">
          <a:extLst>
            <a:ext uri="{FF2B5EF4-FFF2-40B4-BE49-F238E27FC236}">
              <a16:creationId xmlns:a16="http://schemas.microsoft.com/office/drawing/2014/main" id="{7267C7D5-05A4-4B6C-B459-93AABC6DECFB}"/>
            </a:ext>
          </a:extLst>
        </xdr:cNvPr>
        <xdr:cNvSpPr/>
      </xdr:nvSpPr>
      <xdr:spPr>
        <a:xfrm>
          <a:off x="1568346" y="884361"/>
          <a:ext cx="225103" cy="200638"/>
        </a:xfrm>
        <a:prstGeom prst="rect">
          <a:avLst/>
        </a:prstGeom>
        <a:solidFill>
          <a:schemeClr val="bg1">
            <a:lumMod val="6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+</a:t>
          </a:r>
          <a:endParaRPr lang="th-TH" sz="1200" b="1">
            <a:latin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178415</xdr:colOff>
      <xdr:row>5</xdr:row>
      <xdr:rowOff>92583</xdr:rowOff>
    </xdr:from>
    <xdr:to>
      <xdr:col>2</xdr:col>
      <xdr:colOff>403518</xdr:colOff>
      <xdr:row>6</xdr:row>
      <xdr:rowOff>105073</xdr:rowOff>
    </xdr:to>
    <xdr:sp macro="[0]!Rectangle5119_Click" textlink="">
      <xdr:nvSpPr>
        <xdr:cNvPr id="224" name="Rectangle 223">
          <a:extLst>
            <a:ext uri="{FF2B5EF4-FFF2-40B4-BE49-F238E27FC236}">
              <a16:creationId xmlns:a16="http://schemas.microsoft.com/office/drawing/2014/main" id="{82DB61A3-2748-4C1D-983E-C91BA44278CC}"/>
            </a:ext>
          </a:extLst>
        </xdr:cNvPr>
        <xdr:cNvSpPr/>
      </xdr:nvSpPr>
      <xdr:spPr>
        <a:xfrm>
          <a:off x="1563870" y="1097038"/>
          <a:ext cx="225103" cy="202990"/>
        </a:xfrm>
        <a:prstGeom prst="rect">
          <a:avLst/>
        </a:prstGeom>
        <a:solidFill>
          <a:schemeClr val="bg1">
            <a:lumMod val="6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-</a:t>
          </a:r>
          <a:endParaRPr lang="th-TH" sz="1200" b="1">
            <a:latin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155426</xdr:colOff>
      <xdr:row>3</xdr:row>
      <xdr:rowOff>55180</xdr:rowOff>
    </xdr:from>
    <xdr:to>
      <xdr:col>8</xdr:col>
      <xdr:colOff>244927</xdr:colOff>
      <xdr:row>7</xdr:row>
      <xdr:rowOff>122465</xdr:rowOff>
    </xdr:to>
    <xdr:sp macro="[0]!Rectangle5121_Click" textlink="">
      <xdr:nvSpPr>
        <xdr:cNvPr id="5122" name="Rounded Rectangle 5121">
          <a:extLst>
            <a:ext uri="{FF2B5EF4-FFF2-40B4-BE49-F238E27FC236}">
              <a16:creationId xmlns:a16="http://schemas.microsoft.com/office/drawing/2014/main" id="{A7B8561E-D9DD-4636-8590-61412CEE868F}"/>
            </a:ext>
          </a:extLst>
        </xdr:cNvPr>
        <xdr:cNvSpPr/>
      </xdr:nvSpPr>
      <xdr:spPr>
        <a:xfrm>
          <a:off x="4645783" y="721930"/>
          <a:ext cx="1586287" cy="856499"/>
        </a:xfrm>
        <a:prstGeom prst="roundRect">
          <a:avLst/>
        </a:prstGeom>
        <a:solidFill>
          <a:schemeClr val="bg2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en-US" sz="18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endParaRPr lang="th-TH" sz="1800" b="1">
            <a:effectLst/>
            <a:latin typeface="+mn-lt"/>
          </a:endParaRPr>
        </a:p>
        <a:p>
          <a:pPr algn="ctr"/>
          <a:r>
            <a:rPr lang="th-TH" sz="18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เวลาปัจจุบัน</a:t>
          </a:r>
          <a:endParaRPr lang="th-TH" sz="1800" b="1">
            <a:effectLst/>
            <a:latin typeface="+mn-lt"/>
          </a:endParaRPr>
        </a:p>
      </xdr:txBody>
    </xdr:sp>
    <xdr:clientData/>
  </xdr:twoCellAnchor>
  <xdr:twoCellAnchor>
    <xdr:from>
      <xdr:col>20</xdr:col>
      <xdr:colOff>1023070</xdr:colOff>
      <xdr:row>31</xdr:row>
      <xdr:rowOff>118899</xdr:rowOff>
    </xdr:from>
    <xdr:to>
      <xdr:col>21</xdr:col>
      <xdr:colOff>122464</xdr:colOff>
      <xdr:row>32</xdr:row>
      <xdr:rowOff>160230</xdr:rowOff>
    </xdr:to>
    <xdr:sp macro="[0]!Rectangle70_Click" textlink="">
      <xdr:nvSpPr>
        <xdr:cNvPr id="222" name="Rectangle 221">
          <a:extLst>
            <a:ext uri="{FF2B5EF4-FFF2-40B4-BE49-F238E27FC236}">
              <a16:creationId xmlns:a16="http://schemas.microsoft.com/office/drawing/2014/main" id="{479D07F8-59E4-42E6-9BDF-2ACC29A46206}"/>
            </a:ext>
          </a:extLst>
        </xdr:cNvPr>
        <xdr:cNvSpPr/>
      </xdr:nvSpPr>
      <xdr:spPr>
        <a:xfrm>
          <a:off x="15120070" y="6024399"/>
          <a:ext cx="242394" cy="218224"/>
        </a:xfrm>
        <a:prstGeom prst="rect">
          <a:avLst/>
        </a:prstGeom>
        <a:solidFill>
          <a:schemeClr val="bg1">
            <a:lumMod val="6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+</a:t>
          </a:r>
          <a:endParaRPr lang="th-TH" sz="1200" b="1">
            <a:latin typeface="Arial" panose="020B0604020202020204" pitchFamily="34" charset="0"/>
          </a:endParaRPr>
        </a:p>
      </xdr:txBody>
    </xdr:sp>
    <xdr:clientData/>
  </xdr:twoCellAnchor>
  <xdr:twoCellAnchor>
    <xdr:from>
      <xdr:col>21</xdr:col>
      <xdr:colOff>134129</xdr:colOff>
      <xdr:row>31</xdr:row>
      <xdr:rowOff>118318</xdr:rowOff>
    </xdr:from>
    <xdr:to>
      <xdr:col>21</xdr:col>
      <xdr:colOff>370724</xdr:colOff>
      <xdr:row>32</xdr:row>
      <xdr:rowOff>161193</xdr:rowOff>
    </xdr:to>
    <xdr:sp macro="[0]!Rectangle5119_Click" textlink="">
      <xdr:nvSpPr>
        <xdr:cNvPr id="223" name="Rectangle 222">
          <a:extLst>
            <a:ext uri="{FF2B5EF4-FFF2-40B4-BE49-F238E27FC236}">
              <a16:creationId xmlns:a16="http://schemas.microsoft.com/office/drawing/2014/main" id="{0C288F66-245B-4AAB-9E8D-335C2ED39180}"/>
            </a:ext>
          </a:extLst>
        </xdr:cNvPr>
        <xdr:cNvSpPr/>
      </xdr:nvSpPr>
      <xdr:spPr>
        <a:xfrm>
          <a:off x="15403437" y="6082433"/>
          <a:ext cx="236595" cy="226048"/>
        </a:xfrm>
        <a:prstGeom prst="rect">
          <a:avLst/>
        </a:prstGeom>
        <a:solidFill>
          <a:schemeClr val="bg1">
            <a:lumMod val="6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-</a:t>
          </a:r>
          <a:endParaRPr lang="th-TH" sz="1200" b="1">
            <a:latin typeface="Arial" panose="020B0604020202020204" pitchFamily="34" charset="0"/>
          </a:endParaRPr>
        </a:p>
      </xdr:txBody>
    </xdr:sp>
    <xdr:clientData/>
  </xdr:twoCellAnchor>
  <xdr:twoCellAnchor>
    <xdr:from>
      <xdr:col>20</xdr:col>
      <xdr:colOff>330092</xdr:colOff>
      <xdr:row>31</xdr:row>
      <xdr:rowOff>122460</xdr:rowOff>
    </xdr:from>
    <xdr:to>
      <xdr:col>20</xdr:col>
      <xdr:colOff>1012088</xdr:colOff>
      <xdr:row>32</xdr:row>
      <xdr:rowOff>159968</xdr:rowOff>
    </xdr:to>
    <xdr:sp macro="[0]!Rectangle5121_Click" textlink="">
      <xdr:nvSpPr>
        <xdr:cNvPr id="225" name="Rectangle 224">
          <a:extLst>
            <a:ext uri="{FF2B5EF4-FFF2-40B4-BE49-F238E27FC236}">
              <a16:creationId xmlns:a16="http://schemas.microsoft.com/office/drawing/2014/main" id="{2F1AE334-28BD-4353-9F77-0E8B9FD8D7EE}"/>
            </a:ext>
          </a:extLst>
        </xdr:cNvPr>
        <xdr:cNvSpPr/>
      </xdr:nvSpPr>
      <xdr:spPr>
        <a:xfrm>
          <a:off x="14427092" y="6027960"/>
          <a:ext cx="681996" cy="21440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Base</a:t>
          </a:r>
          <a:endParaRPr lang="th-TH" sz="1100" b="1">
            <a:latin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313765</xdr:colOff>
      <xdr:row>4</xdr:row>
      <xdr:rowOff>179294</xdr:rowOff>
    </xdr:from>
    <xdr:to>
      <xdr:col>9</xdr:col>
      <xdr:colOff>313764</xdr:colOff>
      <xdr:row>6</xdr:row>
      <xdr:rowOff>168087</xdr:rowOff>
    </xdr:to>
    <xdr:sp macro="" textlink="">
      <xdr:nvSpPr>
        <xdr:cNvPr id="6" name="TextBox 5"/>
        <xdr:cNvSpPr txBox="1"/>
      </xdr:nvSpPr>
      <xdr:spPr>
        <a:xfrm>
          <a:off x="5950324" y="1030941"/>
          <a:ext cx="694764" cy="4034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h-TH" sz="1400"/>
            <a:t>หรือ</a:t>
          </a:r>
        </a:p>
      </xdr:txBody>
    </xdr:sp>
    <xdr:clientData/>
  </xdr:twoCellAnchor>
  <xdr:twoCellAnchor>
    <xdr:from>
      <xdr:col>9</xdr:col>
      <xdr:colOff>180972</xdr:colOff>
      <xdr:row>3</xdr:row>
      <xdr:rowOff>54428</xdr:rowOff>
    </xdr:from>
    <xdr:to>
      <xdr:col>11</xdr:col>
      <xdr:colOff>435429</xdr:colOff>
      <xdr:row>7</xdr:row>
      <xdr:rowOff>163285</xdr:rowOff>
    </xdr:to>
    <xdr:sp macro="[0]!Rectangle5119_Click" textlink="">
      <xdr:nvSpPr>
        <xdr:cNvPr id="228" name="Rounded Rectangle 227"/>
        <xdr:cNvSpPr/>
      </xdr:nvSpPr>
      <xdr:spPr>
        <a:xfrm>
          <a:off x="6916508" y="721178"/>
          <a:ext cx="1751242" cy="898071"/>
        </a:xfrm>
        <a:prstGeom prst="roundRect">
          <a:avLst/>
        </a:prstGeom>
        <a:solidFill>
          <a:schemeClr val="bg2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en-US" sz="18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endParaRPr lang="th-TH" sz="1800" b="1">
            <a:effectLst/>
            <a:latin typeface="+mn-lt"/>
          </a:endParaRPr>
        </a:p>
        <a:p>
          <a:pPr algn="ctr"/>
          <a:r>
            <a:rPr lang="th-TH" sz="18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เพื่อเลือกเวลา</a:t>
          </a:r>
          <a:endParaRPr lang="th-TH" sz="1800" b="1">
            <a:effectLst/>
            <a:latin typeface="+mn-lt"/>
          </a:endParaRPr>
        </a:p>
        <a:p>
          <a:pPr algn="ctr"/>
          <a:endParaRPr lang="th-TH" sz="1800" b="1">
            <a:latin typeface="+mn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7</xdr:row>
      <xdr:rowOff>0</xdr:rowOff>
    </xdr:from>
    <xdr:to>
      <xdr:col>5</xdr:col>
      <xdr:colOff>142875</xdr:colOff>
      <xdr:row>9</xdr:row>
      <xdr:rowOff>47625</xdr:rowOff>
    </xdr:to>
    <xdr:sp macro="[0]!Rectangle5119_Click" textlink="">
      <xdr:nvSpPr>
        <xdr:cNvPr id="2" name="Rectangle 1"/>
        <xdr:cNvSpPr/>
      </xdr:nvSpPr>
      <xdr:spPr>
        <a:xfrm>
          <a:off x="3067050" y="1266825"/>
          <a:ext cx="139065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H57"/>
  <sheetViews>
    <sheetView tabSelected="1" zoomScale="70" zoomScaleNormal="70" workbookViewId="0">
      <selection activeCell="K27" sqref="K27"/>
    </sheetView>
  </sheetViews>
  <sheetFormatPr defaultColWidth="9.125" defaultRowHeight="14.25" x14ac:dyDescent="0.2"/>
  <cols>
    <col min="1" max="34" width="9.75" style="2" customWidth="1"/>
    <col min="35" max="16384" width="9.125" style="2"/>
  </cols>
  <sheetData>
    <row r="1" spans="1:34" ht="20.100000000000001" customHeight="1" x14ac:dyDescent="0.2">
      <c r="A1" s="69" t="s">
        <v>55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1"/>
    </row>
    <row r="2" spans="1:34" ht="20.100000000000001" customHeight="1" thickBot="1" x14ac:dyDescent="0.25">
      <c r="A2" s="72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4"/>
    </row>
    <row r="3" spans="1:34" x14ac:dyDescent="0.2">
      <c r="A3" s="10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2"/>
    </row>
    <row r="4" spans="1:34" x14ac:dyDescent="0.2">
      <c r="A4" s="13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5"/>
    </row>
    <row r="5" spans="1:34" ht="18" x14ac:dyDescent="0.25">
      <c r="A5" s="13"/>
      <c r="B5" s="50" t="s">
        <v>91</v>
      </c>
      <c r="C5" s="34"/>
      <c r="D5" s="34"/>
      <c r="E5" s="82" t="s">
        <v>101</v>
      </c>
      <c r="F5" s="82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14"/>
      <c r="AC5" s="14"/>
      <c r="AD5" s="14"/>
      <c r="AE5" s="14"/>
      <c r="AF5" s="14"/>
      <c r="AG5" s="14"/>
      <c r="AH5" s="15"/>
    </row>
    <row r="6" spans="1:34" ht="15" x14ac:dyDescent="0.25">
      <c r="A6" s="13"/>
      <c r="B6" s="78">
        <v>1</v>
      </c>
      <c r="C6" s="34"/>
      <c r="D6" s="34"/>
      <c r="E6" s="80" t="s">
        <v>102</v>
      </c>
      <c r="F6" s="80"/>
      <c r="G6" s="34"/>
      <c r="H6" s="34"/>
      <c r="I6" s="34"/>
      <c r="J6" s="34"/>
      <c r="K6" s="34"/>
      <c r="L6" s="34"/>
      <c r="M6" s="34"/>
      <c r="N6" s="34"/>
      <c r="O6" s="16" t="s">
        <v>56</v>
      </c>
      <c r="P6" s="34"/>
      <c r="Q6" s="34"/>
      <c r="R6" s="34"/>
      <c r="S6" s="34"/>
      <c r="T6" s="34"/>
      <c r="U6" s="34"/>
      <c r="V6" s="34"/>
      <c r="W6" s="34"/>
      <c r="X6" s="34"/>
      <c r="Y6" s="34"/>
      <c r="Z6" s="16" t="s">
        <v>56</v>
      </c>
      <c r="AA6" s="34"/>
      <c r="AB6" s="14"/>
      <c r="AC6" s="14"/>
      <c r="AD6" s="14"/>
      <c r="AE6" s="14"/>
      <c r="AF6" s="14"/>
      <c r="AG6" s="14"/>
      <c r="AH6" s="15"/>
    </row>
    <row r="7" spans="1:34" ht="15" x14ac:dyDescent="0.25">
      <c r="A7" s="13"/>
      <c r="B7" s="79"/>
      <c r="C7" s="34"/>
      <c r="D7" s="28"/>
      <c r="E7" s="84">
        <f t="array" aca="1" ref="E7" ca="1">_xll.PIAdvCalcDat(Sheet1!$G$10,Sheet1!$C$4,Sheet1!$C$5,"1m","average (time-weighted)","time-weighted",0,1,65,"")</f>
        <v>43453.637589467595</v>
      </c>
      <c r="F7" s="84"/>
      <c r="G7" s="28"/>
      <c r="H7" s="28"/>
      <c r="I7" s="28"/>
      <c r="J7" s="28"/>
      <c r="K7" s="28"/>
      <c r="L7" s="28"/>
      <c r="M7" s="28"/>
      <c r="N7" s="29"/>
      <c r="O7" s="30">
        <f>G39</f>
        <v>5.3705139160000002</v>
      </c>
      <c r="P7" s="28"/>
      <c r="Q7" s="28"/>
      <c r="R7" s="28"/>
      <c r="S7" s="28"/>
      <c r="T7" s="28"/>
      <c r="U7" s="28"/>
      <c r="V7" s="28"/>
      <c r="W7" s="28"/>
      <c r="X7" s="28"/>
      <c r="Y7" s="29"/>
      <c r="Z7" s="30">
        <f>H39</f>
        <v>4.8664345740000003</v>
      </c>
      <c r="AA7" s="28"/>
      <c r="AB7" s="24"/>
      <c r="AC7" s="24"/>
      <c r="AD7" s="24"/>
      <c r="AE7" s="24"/>
      <c r="AF7" s="24"/>
      <c r="AG7" s="14"/>
      <c r="AH7" s="15"/>
    </row>
    <row r="8" spans="1:34" ht="15" x14ac:dyDescent="0.25">
      <c r="A8" s="13"/>
      <c r="B8" s="34"/>
      <c r="C8" s="34"/>
      <c r="D8" s="28"/>
      <c r="G8" s="28"/>
      <c r="H8" s="28"/>
      <c r="I8" s="28"/>
      <c r="J8" s="28"/>
      <c r="K8" s="28"/>
      <c r="L8" s="28"/>
      <c r="M8" s="28"/>
      <c r="N8" s="28"/>
      <c r="O8" s="37">
        <f>G39</f>
        <v>5.3705139160000002</v>
      </c>
      <c r="P8" s="28"/>
      <c r="Q8" s="28"/>
      <c r="R8" s="28"/>
      <c r="S8" s="28"/>
      <c r="T8" s="28"/>
      <c r="U8" s="28"/>
      <c r="V8" s="28"/>
      <c r="W8" s="28"/>
      <c r="X8" s="28"/>
      <c r="Y8" s="28"/>
      <c r="Z8" s="37">
        <f>H39</f>
        <v>4.8664345740000003</v>
      </c>
      <c r="AA8" s="28"/>
      <c r="AB8" s="24"/>
      <c r="AC8" s="24"/>
      <c r="AD8" s="24"/>
      <c r="AE8" s="24"/>
      <c r="AF8" s="24"/>
      <c r="AG8" s="14"/>
      <c r="AH8" s="15"/>
    </row>
    <row r="9" spans="1:34" x14ac:dyDescent="0.2">
      <c r="A9" s="13"/>
      <c r="B9" s="34"/>
      <c r="C9" s="34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4"/>
      <c r="AC9" s="24"/>
      <c r="AD9" s="24"/>
      <c r="AE9" s="24"/>
      <c r="AF9" s="24"/>
      <c r="AG9" s="14"/>
      <c r="AH9" s="15"/>
    </row>
    <row r="10" spans="1:34" x14ac:dyDescent="0.2">
      <c r="A10" s="13"/>
      <c r="B10" s="81"/>
      <c r="C10" s="81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4"/>
      <c r="AC10" s="24"/>
      <c r="AD10" s="24"/>
      <c r="AE10" s="24"/>
      <c r="AF10" s="24"/>
      <c r="AG10" s="14"/>
      <c r="AH10" s="15"/>
    </row>
    <row r="11" spans="1:34" x14ac:dyDescent="0.2">
      <c r="A11" s="13"/>
      <c r="B11" s="81"/>
      <c r="C11" s="81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4"/>
      <c r="AC11" s="24"/>
      <c r="AD11" s="24"/>
      <c r="AE11" s="24"/>
      <c r="AF11" s="24"/>
      <c r="AG11" s="14"/>
      <c r="AH11" s="15"/>
    </row>
    <row r="12" spans="1:34" x14ac:dyDescent="0.2">
      <c r="A12" s="13"/>
      <c r="B12" s="81"/>
      <c r="C12" s="81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4"/>
      <c r="AC12" s="24"/>
      <c r="AD12" s="24"/>
      <c r="AE12" s="24"/>
      <c r="AF12" s="24"/>
      <c r="AG12" s="14"/>
      <c r="AH12" s="15"/>
    </row>
    <row r="13" spans="1:34" x14ac:dyDescent="0.2">
      <c r="A13" s="13"/>
      <c r="B13" s="81"/>
      <c r="C13" s="81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4"/>
      <c r="AC13" s="24"/>
      <c r="AD13" s="24"/>
      <c r="AE13" s="24"/>
      <c r="AF13" s="24"/>
      <c r="AG13" s="14"/>
      <c r="AH13" s="15"/>
    </row>
    <row r="14" spans="1:34" x14ac:dyDescent="0.2">
      <c r="A14" s="13"/>
      <c r="B14" s="34"/>
      <c r="C14" s="34"/>
      <c r="D14" s="28"/>
      <c r="E14" s="28"/>
      <c r="F14" s="28"/>
      <c r="G14" s="28"/>
      <c r="H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4"/>
      <c r="AC14" s="24"/>
      <c r="AD14" s="24"/>
      <c r="AE14" s="24"/>
      <c r="AF14" s="24"/>
      <c r="AG14" s="14"/>
      <c r="AH14" s="15"/>
    </row>
    <row r="15" spans="1:34" ht="15" x14ac:dyDescent="0.25">
      <c r="A15" s="13"/>
      <c r="B15" s="34"/>
      <c r="C15" s="34"/>
      <c r="D15" s="28"/>
      <c r="E15" s="28"/>
      <c r="F15" s="27"/>
      <c r="G15" s="28"/>
      <c r="H15" s="27"/>
      <c r="I15" s="27"/>
      <c r="J15" s="27" t="s">
        <v>57</v>
      </c>
      <c r="K15" s="27"/>
      <c r="L15" s="28"/>
      <c r="M15" s="28"/>
      <c r="N15" s="28"/>
      <c r="O15" s="28"/>
      <c r="P15" s="28"/>
      <c r="Q15" s="28"/>
      <c r="R15" s="28"/>
      <c r="S15" s="28"/>
      <c r="T15" s="28"/>
      <c r="U15" s="27" t="s">
        <v>57</v>
      </c>
      <c r="V15" s="27"/>
      <c r="W15" s="28"/>
      <c r="X15" s="28"/>
      <c r="Y15" s="28"/>
      <c r="Z15" s="28"/>
      <c r="AA15" s="28"/>
      <c r="AB15" s="24"/>
      <c r="AC15" s="24"/>
      <c r="AD15" s="24"/>
      <c r="AE15" s="24"/>
      <c r="AF15" s="24"/>
      <c r="AG15" s="14"/>
      <c r="AH15" s="15"/>
    </row>
    <row r="16" spans="1:34" ht="15" x14ac:dyDescent="0.25">
      <c r="A16" s="13"/>
      <c r="B16" s="34"/>
      <c r="C16" s="34"/>
      <c r="D16" s="28"/>
      <c r="E16" s="28"/>
      <c r="F16" s="28"/>
      <c r="G16" s="28"/>
      <c r="H16" s="27"/>
      <c r="I16" s="27"/>
      <c r="J16" s="30">
        <f>C39</f>
        <v>84.943710330000002</v>
      </c>
      <c r="K16" s="31"/>
      <c r="L16" s="28"/>
      <c r="M16" s="28"/>
      <c r="N16" s="28"/>
      <c r="O16" s="28"/>
      <c r="P16" s="28"/>
      <c r="Q16" s="28"/>
      <c r="R16" s="28"/>
      <c r="S16" s="28"/>
      <c r="T16" s="28"/>
      <c r="U16" s="30">
        <f>D39</f>
        <v>83.082633970000003</v>
      </c>
      <c r="V16" s="31"/>
      <c r="W16" s="28"/>
      <c r="X16" s="28"/>
      <c r="Y16" s="28"/>
      <c r="Z16" s="28"/>
      <c r="AA16" s="28"/>
      <c r="AB16" s="24"/>
      <c r="AC16" s="24"/>
      <c r="AD16" s="24"/>
      <c r="AE16" s="24"/>
      <c r="AF16" s="25"/>
      <c r="AG16" s="14"/>
      <c r="AH16" s="15"/>
    </row>
    <row r="17" spans="1:34" ht="15" x14ac:dyDescent="0.25">
      <c r="A17" s="13"/>
      <c r="B17" s="34"/>
      <c r="C17" s="34"/>
      <c r="D17" s="28"/>
      <c r="E17" s="28"/>
      <c r="F17" s="27"/>
      <c r="G17" s="28"/>
      <c r="H17" s="27"/>
      <c r="I17" s="27"/>
      <c r="J17" s="37">
        <f>C39</f>
        <v>84.943710330000002</v>
      </c>
      <c r="K17" s="27"/>
      <c r="L17" s="28"/>
      <c r="M17" s="28"/>
      <c r="N17" s="28"/>
      <c r="O17" s="28"/>
      <c r="P17" s="28"/>
      <c r="Q17" s="28"/>
      <c r="R17" s="28"/>
      <c r="S17" s="28"/>
      <c r="T17" s="28"/>
      <c r="U17" s="37">
        <f>D39</f>
        <v>83.082633970000003</v>
      </c>
      <c r="V17" s="27"/>
      <c r="W17" s="28"/>
      <c r="X17" s="28"/>
      <c r="Y17" s="28"/>
      <c r="Z17" s="28"/>
      <c r="AA17" s="28"/>
      <c r="AB17" s="24"/>
      <c r="AC17" s="24"/>
      <c r="AD17" s="24"/>
      <c r="AE17" s="24"/>
      <c r="AF17" s="27" t="s">
        <v>30</v>
      </c>
      <c r="AG17" s="14"/>
      <c r="AH17" s="15"/>
    </row>
    <row r="18" spans="1:34" ht="15" x14ac:dyDescent="0.25">
      <c r="A18" s="13"/>
      <c r="B18" s="34"/>
      <c r="C18" s="34"/>
      <c r="D18" s="28"/>
      <c r="E18" s="27" t="s">
        <v>58</v>
      </c>
      <c r="F18" s="27"/>
      <c r="G18" s="28"/>
      <c r="H18" s="27" t="s">
        <v>59</v>
      </c>
      <c r="I18" s="27"/>
      <c r="J18" s="27" t="s">
        <v>60</v>
      </c>
      <c r="K18" s="27"/>
      <c r="L18" s="28"/>
      <c r="M18" s="28"/>
      <c r="N18" s="28"/>
      <c r="O18" s="28"/>
      <c r="P18" s="28"/>
      <c r="Q18" s="28"/>
      <c r="R18" s="28"/>
      <c r="S18" s="28"/>
      <c r="T18" s="28"/>
      <c r="U18" s="27" t="s">
        <v>60</v>
      </c>
      <c r="V18" s="27"/>
      <c r="W18" s="28"/>
      <c r="X18" s="28"/>
      <c r="Y18" s="28"/>
      <c r="Z18" s="28"/>
      <c r="AA18" s="28"/>
      <c r="AB18" s="24"/>
      <c r="AC18" s="24"/>
      <c r="AD18" s="26"/>
      <c r="AE18" s="24"/>
      <c r="AF18" s="30">
        <f>K39</f>
        <v>193.79502869999999</v>
      </c>
      <c r="AG18" s="14"/>
      <c r="AH18" s="15"/>
    </row>
    <row r="19" spans="1:34" ht="15" x14ac:dyDescent="0.25">
      <c r="A19" s="13"/>
      <c r="B19" s="34"/>
      <c r="C19" s="34"/>
      <c r="D19" s="28"/>
      <c r="E19" s="30">
        <f>B39</f>
        <v>207.3675537</v>
      </c>
      <c r="F19" s="27"/>
      <c r="G19" s="28"/>
      <c r="H19" s="30">
        <f>L39</f>
        <v>99.829200740000005</v>
      </c>
      <c r="I19" s="27"/>
      <c r="J19" s="30">
        <f>E39</f>
        <v>87.762451170000006</v>
      </c>
      <c r="K19" s="31"/>
      <c r="L19" s="28"/>
      <c r="M19" s="28"/>
      <c r="N19" s="28"/>
      <c r="O19" s="28"/>
      <c r="P19" s="28"/>
      <c r="Q19" s="28"/>
      <c r="R19" s="28"/>
      <c r="S19" s="27" t="s">
        <v>69</v>
      </c>
      <c r="T19" s="28"/>
      <c r="U19" s="30">
        <f>F39</f>
        <v>85.647575380000006</v>
      </c>
      <c r="V19" s="31"/>
      <c r="W19" s="28"/>
      <c r="X19" s="28"/>
      <c r="Y19" s="28"/>
      <c r="Z19" s="28"/>
      <c r="AA19" s="28"/>
      <c r="AB19" s="24"/>
      <c r="AC19" s="24"/>
      <c r="AD19" s="27" t="s">
        <v>70</v>
      </c>
      <c r="AE19" s="24"/>
      <c r="AF19" s="37">
        <f>K39</f>
        <v>193.79502869999999</v>
      </c>
      <c r="AG19" s="14"/>
      <c r="AH19" s="15"/>
    </row>
    <row r="20" spans="1:34" ht="15" x14ac:dyDescent="0.25">
      <c r="A20" s="13"/>
      <c r="B20" s="34"/>
      <c r="C20" s="34"/>
      <c r="D20" s="28"/>
      <c r="E20" s="37">
        <f>B39</f>
        <v>207.3675537</v>
      </c>
      <c r="F20" s="27"/>
      <c r="G20" s="28"/>
      <c r="H20" s="37">
        <f>L39</f>
        <v>99.829200740000005</v>
      </c>
      <c r="I20" s="27"/>
      <c r="J20" s="37">
        <f>E39</f>
        <v>87.762451170000006</v>
      </c>
      <c r="K20" s="27"/>
      <c r="L20" s="28"/>
      <c r="M20" s="28"/>
      <c r="N20" s="28"/>
      <c r="O20" s="28"/>
      <c r="P20" s="28"/>
      <c r="Q20" s="28"/>
      <c r="R20" s="28"/>
      <c r="S20" s="30">
        <f>S39</f>
        <v>206.10430176309711</v>
      </c>
      <c r="T20" s="28"/>
      <c r="U20" s="37">
        <f>F39</f>
        <v>85.647575380000006</v>
      </c>
      <c r="V20" s="27"/>
      <c r="W20" s="28"/>
      <c r="X20" s="28"/>
      <c r="Y20" s="28"/>
      <c r="Z20" s="28"/>
      <c r="AA20" s="28"/>
      <c r="AB20" s="24"/>
      <c r="AC20" s="24"/>
      <c r="AD20" s="30">
        <f>T39</f>
        <v>220.88667111672527</v>
      </c>
      <c r="AE20" s="24"/>
      <c r="AF20" s="24"/>
      <c r="AG20" s="14"/>
      <c r="AH20" s="15"/>
    </row>
    <row r="21" spans="1:34" ht="15" x14ac:dyDescent="0.25">
      <c r="A21" s="13"/>
      <c r="B21" s="34"/>
      <c r="C21" s="34"/>
      <c r="D21" s="28"/>
      <c r="E21" s="28"/>
      <c r="F21" s="27"/>
      <c r="G21" s="27"/>
      <c r="H21" s="27"/>
      <c r="I21" s="27"/>
      <c r="J21" s="27"/>
      <c r="K21" s="27"/>
      <c r="L21" s="28"/>
      <c r="M21" s="28"/>
      <c r="N21" s="28"/>
      <c r="O21" s="28"/>
      <c r="P21" s="28"/>
      <c r="Q21" s="28"/>
      <c r="R21" s="28"/>
      <c r="S21" s="37">
        <f>S39</f>
        <v>206.10430176309711</v>
      </c>
      <c r="T21" s="28"/>
      <c r="U21" s="27"/>
      <c r="V21" s="27"/>
      <c r="W21" s="28"/>
      <c r="X21" s="28"/>
      <c r="Y21" s="28"/>
      <c r="Z21" s="28"/>
      <c r="AA21" s="28"/>
      <c r="AB21" s="24"/>
      <c r="AC21" s="24"/>
      <c r="AD21" s="37">
        <f>T39</f>
        <v>220.88667111672527</v>
      </c>
      <c r="AE21" s="24"/>
      <c r="AF21" s="24"/>
      <c r="AG21" s="14"/>
      <c r="AH21" s="15"/>
    </row>
    <row r="22" spans="1:34" ht="15" x14ac:dyDescent="0.25">
      <c r="A22" s="13"/>
      <c r="B22" s="34"/>
      <c r="C22" s="34"/>
      <c r="D22" s="28"/>
      <c r="E22" s="28"/>
      <c r="F22" s="27"/>
      <c r="G22" s="27"/>
      <c r="H22" s="27"/>
      <c r="I22" s="27"/>
      <c r="J22" s="27"/>
      <c r="K22" s="27"/>
      <c r="L22" s="28"/>
      <c r="M22" s="28"/>
      <c r="N22" s="28"/>
      <c r="O22" s="28"/>
      <c r="P22" s="28"/>
      <c r="Q22" s="28"/>
      <c r="R22" s="28"/>
      <c r="S22" s="28"/>
      <c r="T22" s="28"/>
      <c r="U22" s="27"/>
      <c r="V22" s="27"/>
      <c r="W22" s="28"/>
      <c r="X22" s="28"/>
      <c r="Y22" s="28"/>
      <c r="Z22" s="28"/>
      <c r="AA22" s="28"/>
      <c r="AB22" s="24"/>
      <c r="AC22" s="24"/>
      <c r="AD22" s="24"/>
      <c r="AE22" s="24"/>
      <c r="AF22" s="24"/>
      <c r="AG22" s="14"/>
      <c r="AH22" s="15"/>
    </row>
    <row r="23" spans="1:34" ht="15" x14ac:dyDescent="0.25">
      <c r="A23" s="13"/>
      <c r="B23" s="34"/>
      <c r="C23" s="34"/>
      <c r="D23" s="28"/>
      <c r="E23" s="28"/>
      <c r="F23" s="27"/>
      <c r="G23" s="27"/>
      <c r="H23" s="27"/>
      <c r="I23" s="27"/>
      <c r="J23" s="27"/>
      <c r="K23" s="27"/>
      <c r="L23" s="28"/>
      <c r="M23" s="28"/>
      <c r="N23" s="28"/>
      <c r="O23" s="28"/>
      <c r="P23" s="28"/>
      <c r="Q23" s="28"/>
      <c r="R23" s="28"/>
      <c r="S23" s="28"/>
      <c r="T23" s="28"/>
      <c r="U23" s="27"/>
      <c r="V23" s="27"/>
      <c r="W23" s="28"/>
      <c r="X23" s="28"/>
      <c r="Y23" s="28"/>
      <c r="Z23" s="28"/>
      <c r="AA23" s="28"/>
      <c r="AB23" s="24"/>
      <c r="AC23" s="24"/>
      <c r="AD23" s="24"/>
      <c r="AE23" s="24"/>
      <c r="AF23" s="24"/>
      <c r="AG23" s="14"/>
      <c r="AH23" s="15"/>
    </row>
    <row r="24" spans="1:34" ht="15" x14ac:dyDescent="0.25">
      <c r="A24" s="13"/>
      <c r="B24" s="34"/>
      <c r="C24" s="34"/>
      <c r="D24" s="28"/>
      <c r="E24" s="28"/>
      <c r="F24" s="27"/>
      <c r="G24" s="27"/>
      <c r="H24" s="27"/>
      <c r="I24" s="27"/>
      <c r="J24" s="27"/>
      <c r="K24" s="27"/>
      <c r="L24" s="28"/>
      <c r="M24" s="28"/>
      <c r="N24" s="28"/>
      <c r="O24" s="28"/>
      <c r="P24" s="28"/>
      <c r="Q24" s="28"/>
      <c r="R24" s="28"/>
      <c r="S24" s="28"/>
      <c r="T24" s="28"/>
      <c r="U24" s="27"/>
      <c r="V24" s="27"/>
      <c r="W24" s="28"/>
      <c r="X24" s="28"/>
      <c r="Y24" s="28"/>
      <c r="Z24" s="28"/>
      <c r="AA24" s="28"/>
      <c r="AB24" s="24"/>
      <c r="AC24" s="24"/>
      <c r="AD24" s="24"/>
      <c r="AE24" s="24"/>
      <c r="AF24" s="24"/>
      <c r="AH24" s="15"/>
    </row>
    <row r="25" spans="1:34" ht="15" x14ac:dyDescent="0.25">
      <c r="A25" s="13"/>
      <c r="C25" s="34"/>
      <c r="D25" s="28"/>
      <c r="E25" s="28"/>
      <c r="F25" s="28"/>
      <c r="G25" s="27"/>
      <c r="H25" s="27"/>
      <c r="I25" s="27"/>
      <c r="J25" s="27" t="s">
        <v>61</v>
      </c>
      <c r="K25" s="27"/>
      <c r="L25" s="28"/>
      <c r="M25" s="28"/>
      <c r="N25" s="28"/>
      <c r="O25" s="28"/>
      <c r="P25" s="28"/>
      <c r="Q25" s="28"/>
      <c r="R25" s="28"/>
      <c r="S25" s="28"/>
      <c r="T25" s="28"/>
      <c r="U25" s="27" t="s">
        <v>61</v>
      </c>
      <c r="V25" s="27"/>
      <c r="W25" s="28"/>
      <c r="X25" s="28"/>
      <c r="Y25" s="28"/>
      <c r="Z25" s="28"/>
      <c r="AA25" s="28"/>
      <c r="AB25" s="24"/>
      <c r="AC25" s="24"/>
      <c r="AD25" s="24"/>
      <c r="AE25" s="24"/>
      <c r="AF25" s="54" t="s">
        <v>98</v>
      </c>
      <c r="AG25" s="55"/>
      <c r="AH25" s="15"/>
    </row>
    <row r="26" spans="1:34" ht="15" x14ac:dyDescent="0.25">
      <c r="A26" s="13"/>
      <c r="B26" s="34"/>
      <c r="C26" s="34"/>
      <c r="D26" s="28"/>
      <c r="E26" s="28"/>
      <c r="F26" s="28"/>
      <c r="G26" s="27"/>
      <c r="H26" s="27"/>
      <c r="I26" s="32"/>
      <c r="J26" s="30">
        <f>I39</f>
        <v>22437.878909999999</v>
      </c>
      <c r="K26" s="27"/>
      <c r="L26" s="28"/>
      <c r="M26" s="28"/>
      <c r="N26" s="28"/>
      <c r="O26" s="28"/>
      <c r="P26" s="28"/>
      <c r="Q26" s="28"/>
      <c r="R26" s="28"/>
      <c r="S26" s="28"/>
      <c r="T26" s="29"/>
      <c r="U26" s="30">
        <f>J39</f>
        <v>23531.783200000002</v>
      </c>
      <c r="V26" s="27"/>
      <c r="W26" s="28"/>
      <c r="X26" s="28"/>
      <c r="Y26" s="28"/>
      <c r="Z26" s="28"/>
      <c r="AA26" s="28"/>
      <c r="AB26" s="24"/>
      <c r="AC26" s="24"/>
      <c r="AD26" s="24"/>
      <c r="AE26" s="24"/>
      <c r="AF26" s="56" t="s">
        <v>96</v>
      </c>
      <c r="AG26" s="57">
        <f>(AD21*999.3*(AB28/152.193+AB29/136.19)/100)/(E20*838.5*H20/120.195/100)*100</f>
        <v>29.618726299168589</v>
      </c>
      <c r="AH26" s="15"/>
    </row>
    <row r="27" spans="1:34" ht="15.75" x14ac:dyDescent="0.25">
      <c r="A27" s="13"/>
      <c r="B27" s="34"/>
      <c r="C27" s="34"/>
      <c r="D27" s="28"/>
      <c r="E27" s="28"/>
      <c r="F27" s="28"/>
      <c r="G27" s="27"/>
      <c r="H27" s="27"/>
      <c r="I27" s="27"/>
      <c r="J27" s="37">
        <f>I39</f>
        <v>22437.878909999999</v>
      </c>
      <c r="K27" s="27"/>
      <c r="L27" s="28"/>
      <c r="M27" s="28"/>
      <c r="N27" s="28"/>
      <c r="O27" s="83" t="s">
        <v>71</v>
      </c>
      <c r="P27" s="28"/>
      <c r="Q27" s="85" t="s">
        <v>62</v>
      </c>
      <c r="R27" s="86"/>
      <c r="S27" s="28"/>
      <c r="T27" s="28"/>
      <c r="U27" s="37">
        <f>J39</f>
        <v>23531.783200000002</v>
      </c>
      <c r="V27" s="27"/>
      <c r="W27" s="28"/>
      <c r="X27" s="28"/>
      <c r="Y27" s="28"/>
      <c r="Z27" s="28" t="s">
        <v>71</v>
      </c>
      <c r="AA27" s="28"/>
      <c r="AB27" s="75" t="s">
        <v>62</v>
      </c>
      <c r="AC27" s="76"/>
      <c r="AD27" s="24"/>
      <c r="AE27" s="24"/>
      <c r="AF27" s="58" t="s">
        <v>97</v>
      </c>
      <c r="AG27" s="59">
        <f>(AD21*999.3*(Z28/152.193+Z29/136.19)/100)/(E20*838.5*H20/120.195/100)*100</f>
        <v>29.961233616605554</v>
      </c>
      <c r="AH27" s="15"/>
    </row>
    <row r="28" spans="1:34" ht="15.75" x14ac:dyDescent="0.25">
      <c r="A28" s="13"/>
      <c r="B28" s="34"/>
      <c r="C28" s="34"/>
      <c r="D28" s="28"/>
      <c r="E28" s="28"/>
      <c r="F28" s="28"/>
      <c r="G28" s="27"/>
      <c r="H28" s="27"/>
      <c r="I28" s="27"/>
      <c r="J28" s="27"/>
      <c r="K28" s="27"/>
      <c r="L28" s="28"/>
      <c r="M28" s="28"/>
      <c r="N28" s="28"/>
      <c r="O28" s="83">
        <f>M39</f>
        <v>14.019000050000001</v>
      </c>
      <c r="P28" s="33" t="s">
        <v>49</v>
      </c>
      <c r="Q28" s="85">
        <f>Monitor!C11</f>
        <v>13.739615558061649</v>
      </c>
      <c r="R28" s="86"/>
      <c r="S28" s="27" t="s">
        <v>63</v>
      </c>
      <c r="T28" s="28"/>
      <c r="U28" s="27"/>
      <c r="V28" s="27"/>
      <c r="W28" s="28"/>
      <c r="X28" s="28"/>
      <c r="Y28" s="28"/>
      <c r="Z28" s="28">
        <f>O39</f>
        <v>28.583000179999999</v>
      </c>
      <c r="AA28" s="33" t="s">
        <v>49</v>
      </c>
      <c r="AB28" s="67">
        <f>Monitor!C19</f>
        <v>28.294642714546981</v>
      </c>
      <c r="AC28" s="68"/>
      <c r="AD28" s="27" t="s">
        <v>63</v>
      </c>
      <c r="AE28" s="24"/>
      <c r="AF28" s="24"/>
      <c r="AG28" s="24"/>
      <c r="AH28" s="15"/>
    </row>
    <row r="29" spans="1:34" ht="15.75" x14ac:dyDescent="0.25">
      <c r="A29" s="13"/>
      <c r="B29" s="34"/>
      <c r="C29" s="34"/>
      <c r="D29" s="28"/>
      <c r="E29" s="27" t="s">
        <v>64</v>
      </c>
      <c r="F29" s="28"/>
      <c r="G29" s="27"/>
      <c r="H29" s="27"/>
      <c r="I29" s="27"/>
      <c r="J29" s="27"/>
      <c r="K29" s="27"/>
      <c r="L29" s="28"/>
      <c r="M29" s="28"/>
      <c r="N29" s="28"/>
      <c r="O29" s="83">
        <f>N39</f>
        <v>0.44900000099999998</v>
      </c>
      <c r="P29" s="33" t="s">
        <v>65</v>
      </c>
      <c r="Q29" s="85">
        <f>Monitor!C15</f>
        <v>0.44793317045898962</v>
      </c>
      <c r="R29" s="86"/>
      <c r="S29" s="27" t="s">
        <v>63</v>
      </c>
      <c r="T29" s="28"/>
      <c r="U29" s="27"/>
      <c r="V29" s="27"/>
      <c r="W29" s="28"/>
      <c r="X29" s="28"/>
      <c r="Y29" s="28"/>
      <c r="Z29" s="28">
        <f>P39</f>
        <v>1.1189999580000001</v>
      </c>
      <c r="AA29" s="33" t="s">
        <v>65</v>
      </c>
      <c r="AB29" s="67">
        <f>Monitor!C23</f>
        <v>1.0718507204299779</v>
      </c>
      <c r="AC29" s="68"/>
      <c r="AD29" s="27" t="s">
        <v>63</v>
      </c>
      <c r="AE29" s="24"/>
      <c r="AF29" s="24"/>
      <c r="AG29" s="24"/>
      <c r="AH29" s="15"/>
    </row>
    <row r="30" spans="1:34" ht="15.75" x14ac:dyDescent="0.25">
      <c r="A30" s="13"/>
      <c r="B30" s="34"/>
      <c r="C30" s="34"/>
      <c r="D30" s="28"/>
      <c r="E30" s="30">
        <f>J26+U26</f>
        <v>45969.662110000005</v>
      </c>
      <c r="F30" s="28"/>
      <c r="G30" s="27"/>
      <c r="H30" s="27"/>
      <c r="I30" s="27"/>
      <c r="J30" s="27"/>
      <c r="K30" s="27"/>
      <c r="L30" s="28"/>
      <c r="M30" s="28"/>
      <c r="N30" s="28"/>
      <c r="O30" s="83">
        <f>(S21*827*(O28/152.193+O29/136.19)/100)/(E20*838.5*H20/120.195/100)*100</f>
        <v>11.260875715782495</v>
      </c>
      <c r="P30" s="33" t="s">
        <v>66</v>
      </c>
      <c r="Q30" s="85">
        <f>(S21*827*(Q28/152.193+Q29/136.19)/100)/(E20*838.5*H20/120.195/100)*100</f>
        <v>11.043287987945906</v>
      </c>
      <c r="R30" s="86"/>
      <c r="S30" s="27" t="s">
        <v>63</v>
      </c>
      <c r="T30" s="28"/>
      <c r="U30" s="27"/>
      <c r="V30" s="27"/>
      <c r="W30" s="28"/>
      <c r="X30" s="28"/>
      <c r="Y30" s="28"/>
      <c r="Z30" s="28">
        <f>(AD21*999.3*(Z28/152.193+Z29/136.19)/100)/(E20*838.5*H20/120.195/100)*100 -O30</f>
        <v>18.700357900823057</v>
      </c>
      <c r="AA30" s="33" t="s">
        <v>66</v>
      </c>
      <c r="AB30" s="67">
        <f>(AD21*999.3*(AB28/152.193+AB29/136.19)/100)/(E20*838.5*H20/120.195/100)*100 -O30</f>
        <v>18.357850583386096</v>
      </c>
      <c r="AC30" s="68"/>
      <c r="AD30" s="27" t="s">
        <v>63</v>
      </c>
      <c r="AE30" s="24"/>
      <c r="AF30" s="24"/>
      <c r="AG30" s="14"/>
      <c r="AH30" s="15"/>
    </row>
    <row r="31" spans="1:34" ht="15.75" x14ac:dyDescent="0.25">
      <c r="A31" s="13"/>
      <c r="B31" s="34"/>
      <c r="C31" s="34"/>
      <c r="D31" s="28"/>
      <c r="E31" s="37">
        <f>J27+U27</f>
        <v>45969.662110000005</v>
      </c>
      <c r="F31" s="28"/>
      <c r="G31" s="28"/>
      <c r="H31" s="28"/>
      <c r="I31" s="28"/>
      <c r="J31" s="28"/>
      <c r="K31" s="28"/>
      <c r="L31" s="28"/>
      <c r="M31" s="28"/>
      <c r="N31" s="28"/>
      <c r="O31" s="83">
        <f>100*O28/(O28+O29)</f>
        <v>96.896599395788868</v>
      </c>
      <c r="P31" s="33" t="s">
        <v>67</v>
      </c>
      <c r="Q31" s="85">
        <f>100*Q28/(Q28+Q29)</f>
        <v>96.842772637964373</v>
      </c>
      <c r="R31" s="86"/>
      <c r="S31" s="27" t="s">
        <v>72</v>
      </c>
      <c r="T31" s="28"/>
      <c r="U31" s="28"/>
      <c r="V31" s="28"/>
      <c r="W31" s="28"/>
      <c r="X31" s="28"/>
      <c r="Y31" s="28"/>
      <c r="Z31" s="28">
        <f>100*Z28/(Z28+Z29)</f>
        <v>96.23257708975504</v>
      </c>
      <c r="AA31" s="33" t="s">
        <v>67</v>
      </c>
      <c r="AB31" s="67">
        <f>100*AB28/(AB28+AB29)</f>
        <v>96.350089523615537</v>
      </c>
      <c r="AC31" s="68"/>
      <c r="AD31" s="27" t="s">
        <v>63</v>
      </c>
      <c r="AE31" s="24"/>
      <c r="AF31" s="24"/>
      <c r="AG31" s="14"/>
      <c r="AH31" s="15"/>
    </row>
    <row r="32" spans="1:34" x14ac:dyDescent="0.2">
      <c r="A32" s="13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14"/>
      <c r="AC32" s="14"/>
      <c r="AD32" s="14"/>
      <c r="AE32" s="14"/>
      <c r="AF32" s="14"/>
      <c r="AG32" s="14"/>
      <c r="AH32" s="15"/>
    </row>
    <row r="33" spans="1:34" x14ac:dyDescent="0.2">
      <c r="A33" s="13"/>
      <c r="B33" s="34"/>
      <c r="C33" s="34"/>
      <c r="D33" s="53" t="s">
        <v>90</v>
      </c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14"/>
      <c r="AC33" s="14"/>
      <c r="AD33" s="14"/>
      <c r="AE33" s="14"/>
      <c r="AF33" s="14"/>
      <c r="AG33" s="14"/>
      <c r="AH33" s="15"/>
    </row>
    <row r="34" spans="1:34" ht="15" thickBot="1" x14ac:dyDescent="0.25">
      <c r="A34" s="17"/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18"/>
      <c r="AC34" s="18"/>
      <c r="AD34" s="18"/>
      <c r="AE34" s="18"/>
      <c r="AF34" s="18"/>
      <c r="AG34" s="18"/>
      <c r="AH34" s="19"/>
    </row>
    <row r="35" spans="1:34" x14ac:dyDescent="0.2">
      <c r="A35" s="20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21"/>
      <c r="AC35" s="21"/>
      <c r="AD35" s="21"/>
      <c r="AE35" s="21"/>
      <c r="AF35" s="21"/>
    </row>
    <row r="36" spans="1:34" ht="15" thickBot="1" x14ac:dyDescent="0.25">
      <c r="A36" s="38"/>
      <c r="B36" s="39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40"/>
      <c r="AC36" s="40"/>
      <c r="AF36" s="23"/>
      <c r="AG36" s="23"/>
    </row>
    <row r="37" spans="1:34" x14ac:dyDescent="0.2">
      <c r="A37" s="38"/>
      <c r="B37" s="41" t="s">
        <v>68</v>
      </c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3"/>
      <c r="AA37" s="40"/>
      <c r="AB37" s="40"/>
      <c r="AC37" s="40"/>
      <c r="AF37" s="23"/>
      <c r="AG37" s="23"/>
    </row>
    <row r="38" spans="1:34" ht="15" x14ac:dyDescent="0.2">
      <c r="A38" s="38"/>
      <c r="B38" s="44" t="s">
        <v>21</v>
      </c>
      <c r="C38" s="45" t="s">
        <v>22</v>
      </c>
      <c r="D38" s="45" t="s">
        <v>23</v>
      </c>
      <c r="E38" s="45" t="s">
        <v>24</v>
      </c>
      <c r="F38" s="45" t="s">
        <v>25</v>
      </c>
      <c r="G38" s="45" t="s">
        <v>26</v>
      </c>
      <c r="H38" s="45" t="s">
        <v>27</v>
      </c>
      <c r="I38" s="45" t="s">
        <v>28</v>
      </c>
      <c r="J38" s="45" t="s">
        <v>29</v>
      </c>
      <c r="K38" s="45" t="s">
        <v>30</v>
      </c>
      <c r="L38" s="45" t="s">
        <v>31</v>
      </c>
      <c r="M38" s="45" t="s">
        <v>32</v>
      </c>
      <c r="N38" s="45" t="s">
        <v>33</v>
      </c>
      <c r="O38" s="45" t="s">
        <v>34</v>
      </c>
      <c r="P38" s="45" t="s">
        <v>35</v>
      </c>
      <c r="Q38" s="45" t="s">
        <v>36</v>
      </c>
      <c r="R38" s="45" t="s">
        <v>37</v>
      </c>
      <c r="S38" s="45" t="s">
        <v>38</v>
      </c>
      <c r="T38" s="45" t="s">
        <v>39</v>
      </c>
      <c r="U38" s="45" t="s">
        <v>40</v>
      </c>
      <c r="V38" s="45" t="s">
        <v>41</v>
      </c>
      <c r="W38" s="45" t="s">
        <v>42</v>
      </c>
      <c r="X38" s="45" t="s">
        <v>43</v>
      </c>
      <c r="Y38" s="45" t="s">
        <v>44</v>
      </c>
      <c r="Z38" s="46" t="s">
        <v>45</v>
      </c>
      <c r="AA38" s="40"/>
      <c r="AB38" s="40"/>
      <c r="AC38" s="40"/>
      <c r="AF38" s="23"/>
      <c r="AG38" s="23"/>
    </row>
    <row r="39" spans="1:34" ht="15.75" thickBot="1" x14ac:dyDescent="0.25">
      <c r="A39" s="38"/>
      <c r="B39" s="47">
        <f>HLOOKUP(B38,Database!$A$3:$Y$290,$B$6+2,FALSE)</f>
        <v>207.3675537</v>
      </c>
      <c r="C39" s="48">
        <f>HLOOKUP(C38,Database!$A$3:$Y$290,$B$6+2,FALSE)</f>
        <v>84.943710330000002</v>
      </c>
      <c r="D39" s="48">
        <f>HLOOKUP(D38,Database!$A$3:$Y$290,$B$6+2,FALSE)</f>
        <v>83.082633970000003</v>
      </c>
      <c r="E39" s="48">
        <f>HLOOKUP(E38,Database!$A$3:$Y$290,$B$6+2,FALSE)</f>
        <v>87.762451170000006</v>
      </c>
      <c r="F39" s="48">
        <f>HLOOKUP(F38,Database!$A$3:$Y$290,$B$6+2,FALSE)</f>
        <v>85.647575380000006</v>
      </c>
      <c r="G39" s="48">
        <f>HLOOKUP(G38,Database!$A$3:$Y$290,$B$6+2,FALSE)</f>
        <v>5.3705139160000002</v>
      </c>
      <c r="H39" s="48">
        <f>HLOOKUP(H38,Database!$A$3:$Y$290,$B$6+2,FALSE)</f>
        <v>4.8664345740000003</v>
      </c>
      <c r="I39" s="48">
        <f>HLOOKUP(I38,Database!$A$3:$Y$290,$B$6+2,FALSE)</f>
        <v>22437.878909999999</v>
      </c>
      <c r="J39" s="48">
        <f>HLOOKUP(J38,Database!$A$3:$Y$290,$B$6+2,FALSE)</f>
        <v>23531.783200000002</v>
      </c>
      <c r="K39" s="48">
        <f>HLOOKUP(K38,Database!$A$3:$Y$290,$B$6+2,FALSE)</f>
        <v>193.79502869999999</v>
      </c>
      <c r="L39" s="48">
        <f>HLOOKUP(L38,Database!$A$3:$Y$290,$B$6+2,FALSE)</f>
        <v>99.829200740000005</v>
      </c>
      <c r="M39" s="48">
        <f>HLOOKUP(M38,Database!$A$3:$Y$290,$B$6+2,FALSE)</f>
        <v>14.019000050000001</v>
      </c>
      <c r="N39" s="48">
        <f>HLOOKUP(N38,Database!$A$3:$Y$290,$B$6+2,FALSE)</f>
        <v>0.44900000099999998</v>
      </c>
      <c r="O39" s="48">
        <f>HLOOKUP(O38,Database!$A$3:$Y$290,$B$6+2,FALSE)</f>
        <v>28.583000179999999</v>
      </c>
      <c r="P39" s="48">
        <f>HLOOKUP(P38,Database!$A$3:$Y$290,$B$6+2,FALSE)</f>
        <v>1.1189999580000001</v>
      </c>
      <c r="Q39" s="48">
        <f>HLOOKUP(Q38,Database!$A$3:$Y$290,$B$6+2,FALSE)</f>
        <v>84.905967709999999</v>
      </c>
      <c r="R39" s="48">
        <f>HLOOKUP(R38,Database!$A$3:$Y$290,$B$6+2,FALSE)</f>
        <v>83.524291989999995</v>
      </c>
      <c r="S39" s="48">
        <f>HLOOKUP(S38,Database!$A$3:$Y$290,$B$6+2,FALSE)</f>
        <v>206.10430176309711</v>
      </c>
      <c r="T39" s="48">
        <f>HLOOKUP(T38,Database!$A$3:$Y$290,$B$6+2,FALSE)</f>
        <v>220.88667111672527</v>
      </c>
      <c r="U39" s="48">
        <f>HLOOKUP(U38,Database!$A$3:$Y$290,$B$6+2,FALSE)</f>
        <v>11.260875715782495</v>
      </c>
      <c r="V39" s="48">
        <f>HLOOKUP(V38,Database!$A$3:$Y$290,$B$6+2,FALSE)</f>
        <v>18.700357900823057</v>
      </c>
      <c r="W39" s="48">
        <f>HLOOKUP(W38,Database!$A$3:$Y$290,$B$6+2,FALSE)</f>
        <v>96.896599395788868</v>
      </c>
      <c r="X39" s="48">
        <f>HLOOKUP(X38,Database!$A$3:$Y$290,$B$6+2,FALSE)</f>
        <v>96.23257708975504</v>
      </c>
      <c r="Y39" s="48">
        <f>HLOOKUP(Y38,Database!$A$3:$Y$290,$B$6+2,FALSE)</f>
        <v>29.961233616605554</v>
      </c>
      <c r="Z39" s="49">
        <f>HLOOKUP(Z38,Database!$A$3:$Y$290,$B$6+2,FALSE)</f>
        <v>96.23257708975504</v>
      </c>
      <c r="AA39" s="40"/>
      <c r="AB39" s="40"/>
      <c r="AC39" s="40"/>
      <c r="AD39" s="23"/>
      <c r="AE39" s="23"/>
      <c r="AF39" s="23"/>
      <c r="AG39" s="23"/>
    </row>
    <row r="40" spans="1:34" x14ac:dyDescent="0.2">
      <c r="A40" s="38"/>
      <c r="B40" s="40"/>
      <c r="C40" s="40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40"/>
      <c r="AD40" s="23"/>
      <c r="AE40" s="23"/>
      <c r="AF40" s="23"/>
      <c r="AG40" s="23"/>
    </row>
    <row r="41" spans="1:34" x14ac:dyDescent="0.2">
      <c r="A41" s="38"/>
      <c r="B41" s="40"/>
      <c r="C41" s="40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40"/>
      <c r="AD41" s="23"/>
      <c r="AE41" s="23"/>
      <c r="AF41" s="23"/>
      <c r="AG41" s="23"/>
    </row>
    <row r="42" spans="1:34" x14ac:dyDescent="0.2">
      <c r="A42" s="22"/>
      <c r="B42" s="23"/>
      <c r="C42" s="1" t="s">
        <v>92</v>
      </c>
      <c r="D42" s="1"/>
      <c r="E42" s="1"/>
      <c r="F42" s="1"/>
      <c r="G42" s="1"/>
      <c r="H42" s="1" t="s">
        <v>93</v>
      </c>
      <c r="I42" s="1">
        <v>21.7</v>
      </c>
      <c r="J42" s="1" t="s">
        <v>92</v>
      </c>
      <c r="K42" s="1" t="s">
        <v>92</v>
      </c>
      <c r="L42" s="1" t="s">
        <v>94</v>
      </c>
      <c r="M42" s="1">
        <v>120.19499999999999</v>
      </c>
      <c r="N42" s="1">
        <v>152.19300000000001</v>
      </c>
      <c r="O42" s="1">
        <v>136.19</v>
      </c>
      <c r="S42" s="23"/>
      <c r="T42" s="23"/>
      <c r="U42" s="23"/>
      <c r="V42" s="23"/>
      <c r="W42" s="23"/>
    </row>
    <row r="43" spans="1:34" x14ac:dyDescent="0.2">
      <c r="A43" s="22"/>
      <c r="B43" s="23"/>
      <c r="C43" s="1">
        <v>838.5</v>
      </c>
      <c r="D43" s="1">
        <v>865</v>
      </c>
      <c r="E43" s="1"/>
      <c r="F43" s="1"/>
      <c r="G43" s="1"/>
      <c r="H43" s="1" t="s">
        <v>95</v>
      </c>
      <c r="I43" s="1">
        <f>(9650-600)/1000</f>
        <v>9.0500000000000007</v>
      </c>
      <c r="J43" s="1">
        <v>827</v>
      </c>
      <c r="K43" s="1">
        <v>999.3</v>
      </c>
      <c r="L43" s="1">
        <v>884.9</v>
      </c>
      <c r="M43" s="1">
        <v>1064</v>
      </c>
      <c r="N43" s="1"/>
      <c r="O43" s="1"/>
      <c r="S43" s="23"/>
      <c r="T43" s="23"/>
      <c r="U43" s="23"/>
      <c r="V43" s="23"/>
      <c r="W43" s="23"/>
    </row>
    <row r="44" spans="1:34" x14ac:dyDescent="0.2">
      <c r="A44" s="22"/>
      <c r="B44" s="23"/>
      <c r="C44" s="23"/>
      <c r="D44" s="23"/>
      <c r="E44" s="23"/>
      <c r="S44" s="23"/>
      <c r="T44" s="23"/>
      <c r="U44" s="23"/>
      <c r="V44" s="23"/>
      <c r="W44" s="23"/>
    </row>
    <row r="45" spans="1:34" x14ac:dyDescent="0.2">
      <c r="A45" s="22"/>
      <c r="B45" s="23"/>
      <c r="C45" s="23"/>
      <c r="D45" s="23"/>
      <c r="E45" s="23"/>
      <c r="S45" s="23"/>
      <c r="T45" s="23"/>
      <c r="U45" s="23"/>
      <c r="V45" s="23"/>
      <c r="W45" s="23"/>
    </row>
    <row r="46" spans="1:34" x14ac:dyDescent="0.2">
      <c r="A46" s="22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AC46" s="23"/>
      <c r="AD46" s="23"/>
      <c r="AE46" s="23"/>
      <c r="AF46" s="23"/>
      <c r="AG46" s="23"/>
    </row>
    <row r="47" spans="1:34" x14ac:dyDescent="0.2">
      <c r="AC47" s="23"/>
      <c r="AD47" s="23"/>
      <c r="AE47" s="23"/>
      <c r="AF47" s="23"/>
      <c r="AG47" s="23"/>
    </row>
    <row r="48" spans="1:34" x14ac:dyDescent="0.2">
      <c r="AC48" s="23"/>
      <c r="AD48" s="23"/>
      <c r="AE48" s="23"/>
      <c r="AF48" s="23"/>
      <c r="AG48" s="23"/>
    </row>
    <row r="49" spans="29:33" x14ac:dyDescent="0.2">
      <c r="AC49" s="23"/>
      <c r="AD49" s="23"/>
      <c r="AE49" s="23"/>
      <c r="AF49" s="23"/>
      <c r="AG49" s="23"/>
    </row>
    <row r="50" spans="29:33" x14ac:dyDescent="0.2">
      <c r="AC50" s="23"/>
      <c r="AD50" s="23"/>
      <c r="AE50" s="23"/>
      <c r="AF50" s="23"/>
      <c r="AG50" s="23"/>
    </row>
    <row r="51" spans="29:33" x14ac:dyDescent="0.2">
      <c r="AC51" s="23"/>
      <c r="AD51" s="23"/>
      <c r="AE51" s="23"/>
      <c r="AF51" s="23"/>
      <c r="AG51" s="23"/>
    </row>
    <row r="52" spans="29:33" x14ac:dyDescent="0.2">
      <c r="AF52" s="23"/>
      <c r="AG52" s="23"/>
    </row>
    <row r="53" spans="29:33" x14ac:dyDescent="0.2">
      <c r="AF53" s="23"/>
      <c r="AG53" s="23"/>
    </row>
    <row r="54" spans="29:33" x14ac:dyDescent="0.2">
      <c r="AF54" s="23"/>
      <c r="AG54" s="23"/>
    </row>
    <row r="55" spans="29:33" x14ac:dyDescent="0.2">
      <c r="AF55" s="23"/>
      <c r="AG55" s="23"/>
    </row>
    <row r="56" spans="29:33" x14ac:dyDescent="0.2">
      <c r="AF56" s="23"/>
      <c r="AG56" s="23"/>
    </row>
    <row r="57" spans="29:33" x14ac:dyDescent="0.2">
      <c r="AF57" s="23"/>
      <c r="AG57" s="23"/>
    </row>
  </sheetData>
  <mergeCells count="14">
    <mergeCell ref="Q30:R30"/>
    <mergeCell ref="AB30:AC30"/>
    <mergeCell ref="Q31:R31"/>
    <mergeCell ref="AB31:AC31"/>
    <mergeCell ref="A1:AH2"/>
    <mergeCell ref="Q27:R27"/>
    <mergeCell ref="AB27:AC27"/>
    <mergeCell ref="Q28:R28"/>
    <mergeCell ref="AB28:AC28"/>
    <mergeCell ref="Q29:R29"/>
    <mergeCell ref="AB29:AC29"/>
    <mergeCell ref="E6:F6"/>
    <mergeCell ref="E5:F5"/>
    <mergeCell ref="E7:F7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290"/>
  <sheetViews>
    <sheetView zoomScale="70" zoomScaleNormal="70" workbookViewId="0">
      <selection activeCell="A5" sqref="A5"/>
    </sheetView>
  </sheetViews>
  <sheetFormatPr defaultRowHeight="14.25" x14ac:dyDescent="0.2"/>
  <cols>
    <col min="1" max="1" width="26.5" style="2" bestFit="1" customWidth="1"/>
    <col min="2" max="2" width="14.375" style="2" bestFit="1" customWidth="1"/>
    <col min="3" max="3" width="14.375" style="2" customWidth="1"/>
    <col min="4" max="5" width="14.75" style="2" bestFit="1" customWidth="1"/>
    <col min="6" max="7" width="19.375" style="2" bestFit="1" customWidth="1"/>
    <col min="8" max="9" width="17.5" style="2" bestFit="1" customWidth="1"/>
    <col min="10" max="10" width="12.5" style="2" bestFit="1" customWidth="1"/>
    <col min="11" max="11" width="24.375" style="2" bestFit="1" customWidth="1"/>
    <col min="12" max="12" width="17.125" style="2" bestFit="1" customWidth="1"/>
    <col min="13" max="13" width="19" style="2" bestFit="1" customWidth="1"/>
    <col min="14" max="14" width="17.125" style="2" bestFit="1" customWidth="1"/>
    <col min="15" max="15" width="19" style="2" bestFit="1" customWidth="1"/>
    <col min="16" max="17" width="23.75" style="2" bestFit="1" customWidth="1"/>
    <col min="18" max="18" width="35" style="2" bestFit="1" customWidth="1"/>
    <col min="19" max="19" width="18.875" style="2" bestFit="1" customWidth="1"/>
    <col min="20" max="21" width="20.5" style="2" bestFit="1" customWidth="1"/>
    <col min="22" max="23" width="16" style="2" bestFit="1" customWidth="1"/>
    <col min="24" max="24" width="25.875" style="2" bestFit="1" customWidth="1"/>
    <col min="25" max="25" width="21.5" style="2" bestFit="1" customWidth="1"/>
    <col min="26" max="16384" width="9" style="2"/>
  </cols>
  <sheetData>
    <row r="1" spans="1:26" x14ac:dyDescent="0.2">
      <c r="S1" s="2" t="s">
        <v>89</v>
      </c>
      <c r="T1" s="2">
        <v>3347.0170775181314</v>
      </c>
    </row>
    <row r="2" spans="1:26" x14ac:dyDescent="0.2">
      <c r="A2" s="51" t="s">
        <v>87</v>
      </c>
      <c r="B2" s="51" t="s">
        <v>73</v>
      </c>
      <c r="C2" s="51" t="s">
        <v>74</v>
      </c>
      <c r="D2" s="51" t="s">
        <v>75</v>
      </c>
      <c r="E2" s="51" t="s">
        <v>76</v>
      </c>
      <c r="F2" s="51" t="s">
        <v>77</v>
      </c>
      <c r="G2" s="51" t="s">
        <v>78</v>
      </c>
      <c r="H2" s="51" t="s">
        <v>79</v>
      </c>
      <c r="I2" s="51" t="s">
        <v>80</v>
      </c>
      <c r="J2" s="51" t="s">
        <v>81</v>
      </c>
      <c r="K2" s="51" t="s">
        <v>82</v>
      </c>
      <c r="L2" s="52" t="s">
        <v>83</v>
      </c>
      <c r="M2" s="52" t="s">
        <v>84</v>
      </c>
      <c r="N2" s="52" t="s">
        <v>85</v>
      </c>
      <c r="O2" s="52" t="s">
        <v>86</v>
      </c>
      <c r="P2" s="51" t="s">
        <v>73</v>
      </c>
      <c r="Q2" s="51" t="s">
        <v>74</v>
      </c>
      <c r="R2" s="51"/>
      <c r="S2" s="51"/>
      <c r="U2" s="51"/>
    </row>
    <row r="3" spans="1:26" x14ac:dyDescent="0.2">
      <c r="A3" s="2" t="s">
        <v>21</v>
      </c>
      <c r="B3" s="2" t="s">
        <v>22</v>
      </c>
      <c r="C3" s="2" t="s">
        <v>23</v>
      </c>
      <c r="D3" s="2" t="s">
        <v>24</v>
      </c>
      <c r="E3" s="2" t="s">
        <v>25</v>
      </c>
      <c r="F3" s="2" t="s">
        <v>26</v>
      </c>
      <c r="G3" s="2" t="s">
        <v>27</v>
      </c>
      <c r="H3" s="2" t="s">
        <v>28</v>
      </c>
      <c r="I3" s="2" t="s">
        <v>29</v>
      </c>
      <c r="J3" s="2" t="s">
        <v>30</v>
      </c>
      <c r="K3" s="2" t="s">
        <v>31</v>
      </c>
      <c r="L3" s="2" t="s">
        <v>32</v>
      </c>
      <c r="M3" s="2" t="s">
        <v>33</v>
      </c>
      <c r="N3" s="2" t="s">
        <v>34</v>
      </c>
      <c r="O3" s="2" t="s">
        <v>35</v>
      </c>
      <c r="P3" s="2" t="s">
        <v>36</v>
      </c>
      <c r="Q3" s="2" t="s">
        <v>37</v>
      </c>
      <c r="R3" s="2" t="s">
        <v>38</v>
      </c>
      <c r="S3" s="2" t="s">
        <v>39</v>
      </c>
      <c r="T3" s="2" t="s">
        <v>40</v>
      </c>
      <c r="U3" s="2" t="s">
        <v>41</v>
      </c>
      <c r="V3" s="2" t="s">
        <v>42</v>
      </c>
      <c r="W3" s="2" t="s">
        <v>43</v>
      </c>
      <c r="X3" s="2" t="s">
        <v>44</v>
      </c>
      <c r="Y3" s="2" t="s">
        <v>45</v>
      </c>
    </row>
    <row r="5" spans="1:26" s="60" customFormat="1" x14ac:dyDescent="0.2">
      <c r="A5" s="60">
        <v>207.3675537</v>
      </c>
      <c r="B5" s="60">
        <v>84.943710330000002</v>
      </c>
      <c r="C5" s="60">
        <v>83.082633970000003</v>
      </c>
      <c r="D5" s="60">
        <v>87.762451170000006</v>
      </c>
      <c r="E5" s="60">
        <v>85.647575380000006</v>
      </c>
      <c r="F5" s="60">
        <v>5.3705139160000002</v>
      </c>
      <c r="G5" s="60">
        <v>4.8664345740000003</v>
      </c>
      <c r="H5" s="60">
        <v>22437.878909999999</v>
      </c>
      <c r="I5" s="60">
        <v>23531.783200000002</v>
      </c>
      <c r="J5" s="60">
        <v>193.79502869999999</v>
      </c>
      <c r="K5" s="60">
        <v>99.829200740000005</v>
      </c>
      <c r="L5" s="60">
        <v>14.019000050000001</v>
      </c>
      <c r="M5" s="60">
        <v>0.44900000099999998</v>
      </c>
      <c r="N5" s="60">
        <v>28.583000179999999</v>
      </c>
      <c r="O5" s="60">
        <v>1.1189999580000001</v>
      </c>
      <c r="P5" s="60">
        <v>84.905967709999999</v>
      </c>
      <c r="Q5" s="60">
        <v>83.524291989999995</v>
      </c>
      <c r="R5" s="60">
        <f>(P5-B5)*$T$1/100+A5</f>
        <v>206.10430176309711</v>
      </c>
      <c r="S5" s="60">
        <f>(Q5-C5)*$T$1/100+R5</f>
        <v>220.88667111672527</v>
      </c>
      <c r="T5" s="60">
        <f>(R5*827*(L5/152.193+M5/136.19)/100)/(A5*838.5*K5/120.195/100)*100</f>
        <v>11.260875715782495</v>
      </c>
      <c r="U5" s="60">
        <f>(S5*999.3*(N5/152.193+O5/136.19)/100)/(A5*838.5*K5/120.195/100)*100-T5</f>
        <v>18.700357900823057</v>
      </c>
      <c r="V5" s="60">
        <f>L5/(L5+M5)*100</f>
        <v>96.896599395788868</v>
      </c>
      <c r="W5" s="60">
        <f>N5/(N5+O5)*100</f>
        <v>96.23257708975504</v>
      </c>
      <c r="X5" s="60">
        <f>(S5*999.3*(N5/152.193+O5/136.19)/100)/(A5*838.5*K5/120.195/100)*100</f>
        <v>29.961233616605554</v>
      </c>
      <c r="Y5" s="60">
        <f>N5/(N5+O5)*100</f>
        <v>96.23257708975504</v>
      </c>
      <c r="Z5" s="60" t="s">
        <v>54</v>
      </c>
    </row>
    <row r="6" spans="1:26" s="25" customFormat="1" x14ac:dyDescent="0.2">
      <c r="A6" s="25">
        <v>207.3675537</v>
      </c>
      <c r="B6" s="25">
        <v>84.943710330000002</v>
      </c>
      <c r="C6" s="25">
        <v>83.082633970000003</v>
      </c>
      <c r="D6" s="25">
        <v>87.762451170000006</v>
      </c>
      <c r="E6" s="25">
        <v>85.647575380000006</v>
      </c>
      <c r="F6" s="25">
        <v>5.3705139160000002</v>
      </c>
      <c r="G6" s="25">
        <v>4.8664345740000003</v>
      </c>
      <c r="H6" s="25">
        <v>22437.878909999999</v>
      </c>
      <c r="I6" s="25">
        <v>23531.783200000002</v>
      </c>
      <c r="J6" s="25">
        <v>193.79502869999999</v>
      </c>
      <c r="K6" s="25">
        <v>99.829200740000005</v>
      </c>
      <c r="L6" s="25">
        <v>14.019000050000001</v>
      </c>
      <c r="M6" s="25">
        <v>0.44900000099999998</v>
      </c>
      <c r="N6" s="25">
        <v>28.583000179999999</v>
      </c>
      <c r="O6" s="25">
        <v>1.1189999580000001</v>
      </c>
      <c r="P6" s="25">
        <v>84.905967709999999</v>
      </c>
      <c r="Q6" s="25">
        <v>83.524291989999995</v>
      </c>
      <c r="R6" s="61">
        <f>(P6-B6)*$T$1/100+A6</f>
        <v>206.10430176309711</v>
      </c>
      <c r="S6" s="61">
        <f>(Q6-C6)*$T$1/100+R6</f>
        <v>220.88667111672527</v>
      </c>
      <c r="T6" s="25">
        <f>(R6*827*(L6/152.193+M6/136.19)/100)/(A6*838.5*K6/120.195/100)*100</f>
        <v>11.260875715782495</v>
      </c>
      <c r="U6" s="25">
        <v>18.700357910000001</v>
      </c>
      <c r="V6" s="25">
        <v>96.896599399999999</v>
      </c>
      <c r="W6" s="25">
        <v>95.832221610000005</v>
      </c>
      <c r="X6" s="25">
        <v>29.96123364</v>
      </c>
      <c r="Y6" s="25">
        <v>96.232577090000007</v>
      </c>
    </row>
    <row r="7" spans="1:26" s="25" customFormat="1" x14ac:dyDescent="0.2">
      <c r="A7" s="25">
        <v>211.19705200000001</v>
      </c>
      <c r="B7" s="25">
        <v>81.863662719999994</v>
      </c>
      <c r="C7" s="25">
        <v>81.86704254</v>
      </c>
      <c r="D7" s="25">
        <v>88.027946470000003</v>
      </c>
      <c r="E7" s="25">
        <v>86.572265630000004</v>
      </c>
      <c r="F7" s="25">
        <v>5.3308105469999996</v>
      </c>
      <c r="G7" s="25">
        <v>4.6539306639999998</v>
      </c>
      <c r="H7" s="25">
        <v>21345.583979999999</v>
      </c>
      <c r="I7" s="25">
        <v>24165.324219999999</v>
      </c>
      <c r="J7" s="25">
        <v>196.8423004</v>
      </c>
      <c r="K7" s="25">
        <v>99.829200740000005</v>
      </c>
      <c r="L7" s="25">
        <v>12.777999879999999</v>
      </c>
      <c r="M7" s="25">
        <v>0.48399999700000002</v>
      </c>
      <c r="N7" s="25">
        <v>27.120000839999999</v>
      </c>
      <c r="O7" s="25">
        <v>1.1590000389999999</v>
      </c>
      <c r="P7" s="25">
        <v>81.925094599999994</v>
      </c>
      <c r="Q7" s="25">
        <v>81.635604860000001</v>
      </c>
      <c r="R7" s="61">
        <f t="shared" ref="R7:R70" si="0">(P7-B7)*$T$1/100+A7</f>
        <v>213.25318751464047</v>
      </c>
      <c r="S7" s="61">
        <f t="shared" ref="S7:S69" si="1">(Q7-C7)*$T$1/100+R7</f>
        <v>205.50692884122873</v>
      </c>
      <c r="T7" s="25">
        <v>10.49329075</v>
      </c>
      <c r="U7" s="25">
        <v>15.57521384</v>
      </c>
      <c r="V7" s="25">
        <v>96.350475029999998</v>
      </c>
      <c r="W7" s="25">
        <v>95.59883945</v>
      </c>
      <c r="X7" s="25">
        <v>26.06850459</v>
      </c>
      <c r="Y7" s="25">
        <v>95.901552379999998</v>
      </c>
    </row>
    <row r="8" spans="1:26" s="25" customFormat="1" x14ac:dyDescent="0.2">
      <c r="A8" s="25">
        <v>210.5777588</v>
      </c>
      <c r="B8" s="25">
        <v>80.879402159999998</v>
      </c>
      <c r="C8" s="25">
        <v>80.817443850000004</v>
      </c>
      <c r="D8" s="25">
        <v>88.393852229999993</v>
      </c>
      <c r="E8" s="25">
        <v>87.112266539999993</v>
      </c>
      <c r="F8" s="25">
        <v>5.2931618690000004</v>
      </c>
      <c r="G8" s="25">
        <v>4.8719277380000001</v>
      </c>
      <c r="H8" s="25">
        <v>22385.082030000001</v>
      </c>
      <c r="I8" s="25">
        <v>25000.14258</v>
      </c>
      <c r="J8" s="25">
        <v>197.22966</v>
      </c>
      <c r="K8" s="25">
        <v>99.761497500000004</v>
      </c>
      <c r="L8" s="25">
        <v>13.838000299999999</v>
      </c>
      <c r="M8" s="25">
        <v>0.476000011</v>
      </c>
      <c r="N8" s="25">
        <v>28.364999770000001</v>
      </c>
      <c r="O8" s="25">
        <v>1.1280000210000001</v>
      </c>
      <c r="P8" s="25">
        <v>80.753814700000007</v>
      </c>
      <c r="Q8" s="25">
        <v>80.559715269999998</v>
      </c>
      <c r="R8" s="61">
        <f t="shared" si="0"/>
        <v>206.37432506657905</v>
      </c>
      <c r="S8" s="61">
        <f t="shared" si="1"/>
        <v>197.74810548033389</v>
      </c>
      <c r="T8" s="25">
        <v>10.99585759</v>
      </c>
      <c r="U8" s="25">
        <v>15.251631939999999</v>
      </c>
      <c r="V8" s="25">
        <v>96.674584319999994</v>
      </c>
      <c r="W8" s="25">
        <v>95.815081910000004</v>
      </c>
      <c r="X8" s="25">
        <v>26.24748954</v>
      </c>
      <c r="Y8" s="25">
        <v>96.17536355</v>
      </c>
    </row>
    <row r="9" spans="1:26" s="25" customFormat="1" x14ac:dyDescent="0.2">
      <c r="A9" s="25">
        <v>211.34948729999999</v>
      </c>
      <c r="B9" s="25">
        <v>81.004974369999999</v>
      </c>
      <c r="C9" s="25">
        <v>81.031188959999994</v>
      </c>
      <c r="D9" s="25">
        <v>88.568115230000004</v>
      </c>
      <c r="E9" s="25">
        <v>87.066650390000007</v>
      </c>
      <c r="F9" s="25">
        <v>5.2703857420000002</v>
      </c>
      <c r="G9" s="25">
        <v>4.8687744139999998</v>
      </c>
      <c r="H9" s="25">
        <v>22413.269530000001</v>
      </c>
      <c r="I9" s="25">
        <v>24985.91992</v>
      </c>
      <c r="J9" s="25">
        <v>197.91012570000001</v>
      </c>
      <c r="K9" s="25">
        <v>99.769897459999996</v>
      </c>
      <c r="L9" s="25">
        <v>13.88099957</v>
      </c>
      <c r="M9" s="25">
        <v>0.469999999</v>
      </c>
      <c r="N9" s="25">
        <v>27.777999879999999</v>
      </c>
      <c r="O9" s="25">
        <v>1.154000044</v>
      </c>
      <c r="P9" s="25">
        <v>80.952049259999995</v>
      </c>
      <c r="Q9" s="25">
        <v>80.944305420000006</v>
      </c>
      <c r="R9" s="61">
        <f t="shared" si="0"/>
        <v>209.5780748300046</v>
      </c>
      <c r="S9" s="61">
        <f t="shared" si="1"/>
        <v>206.6700679086527</v>
      </c>
      <c r="T9" s="25">
        <v>11.15294445</v>
      </c>
      <c r="U9" s="25">
        <v>15.66161009</v>
      </c>
      <c r="V9" s="25">
        <v>96.724966809999998</v>
      </c>
      <c r="W9" s="25">
        <v>95.502419349999997</v>
      </c>
      <c r="X9" s="25">
        <v>26.81455454</v>
      </c>
      <c r="Y9" s="25">
        <v>96.01133677</v>
      </c>
    </row>
    <row r="10" spans="1:26" s="25" customFormat="1" x14ac:dyDescent="0.2">
      <c r="A10" s="25">
        <v>208.3633423</v>
      </c>
      <c r="B10" s="25">
        <v>80.768867490000005</v>
      </c>
      <c r="C10" s="25">
        <v>80.928245540000006</v>
      </c>
      <c r="D10" s="25">
        <v>88.394310000000004</v>
      </c>
      <c r="E10" s="25">
        <v>86.435096740000006</v>
      </c>
      <c r="F10" s="25">
        <v>4.7453818319999996</v>
      </c>
      <c r="G10" s="25">
        <v>5.2709755899999999</v>
      </c>
      <c r="H10" s="25">
        <v>20565.822270000001</v>
      </c>
      <c r="I10" s="25">
        <v>24633.212889999999</v>
      </c>
      <c r="J10" s="25">
        <v>194.4348602</v>
      </c>
      <c r="K10" s="25">
        <v>99.750503539999997</v>
      </c>
      <c r="L10" s="25">
        <v>13.68999958</v>
      </c>
      <c r="M10" s="25">
        <v>0.47799998500000002</v>
      </c>
      <c r="N10" s="25">
        <v>28.771999359999999</v>
      </c>
      <c r="O10" s="25">
        <v>1.1480000020000001</v>
      </c>
      <c r="P10" s="25">
        <v>80.380104059999994</v>
      </c>
      <c r="Q10" s="25">
        <v>80.601425169999999</v>
      </c>
      <c r="R10" s="61">
        <f t="shared" si="0"/>
        <v>195.35136390675436</v>
      </c>
      <c r="S10" s="61">
        <f t="shared" si="1"/>
        <v>184.41263031004618</v>
      </c>
      <c r="T10" s="25">
        <v>10.413603630000001</v>
      </c>
      <c r="U10" s="25">
        <v>14.68525721</v>
      </c>
      <c r="V10" s="25">
        <v>96.626199889999995</v>
      </c>
      <c r="W10" s="25">
        <v>95.834405059999995</v>
      </c>
      <c r="X10" s="25">
        <v>25.09886083</v>
      </c>
      <c r="Y10" s="25">
        <v>96.163101519999998</v>
      </c>
    </row>
    <row r="11" spans="1:26" s="25" customFormat="1" x14ac:dyDescent="0.2">
      <c r="A11" s="25">
        <v>210.38647460000001</v>
      </c>
      <c r="B11" s="25">
        <v>79.804183960000003</v>
      </c>
      <c r="C11" s="25">
        <v>80.730850219999994</v>
      </c>
      <c r="D11" s="25">
        <v>88.430931090000001</v>
      </c>
      <c r="E11" s="25">
        <v>86.645660399999997</v>
      </c>
      <c r="F11" s="25">
        <v>5.4661049840000002</v>
      </c>
      <c r="G11" s="25">
        <v>5.1448159220000003</v>
      </c>
      <c r="H11" s="25">
        <v>22753.761719999999</v>
      </c>
      <c r="I11" s="25">
        <v>24604.63867</v>
      </c>
      <c r="J11" s="25">
        <v>195.9176483</v>
      </c>
      <c r="K11" s="25">
        <v>99.803596499999998</v>
      </c>
      <c r="L11" s="25">
        <v>14.00599957</v>
      </c>
      <c r="M11" s="25">
        <v>0.52600002300000004</v>
      </c>
      <c r="N11" s="25">
        <v>28.350999829999999</v>
      </c>
      <c r="O11" s="25">
        <v>0.95599997000000003</v>
      </c>
      <c r="P11" s="25">
        <v>79.88748932</v>
      </c>
      <c r="Q11" s="25">
        <v>80.667091369999994</v>
      </c>
      <c r="R11" s="61">
        <f t="shared" si="0"/>
        <v>213.17471922568788</v>
      </c>
      <c r="S11" s="61">
        <f t="shared" si="1"/>
        <v>211.04069962775873</v>
      </c>
      <c r="T11" s="25">
        <v>11.54076141</v>
      </c>
      <c r="U11" s="25">
        <v>16.289648249999999</v>
      </c>
      <c r="V11" s="25">
        <v>96.380401610000007</v>
      </c>
      <c r="W11" s="25">
        <v>96.991134590000001</v>
      </c>
      <c r="X11" s="25">
        <v>27.830409660000001</v>
      </c>
      <c r="Y11" s="25">
        <v>96.737980769999993</v>
      </c>
    </row>
    <row r="12" spans="1:26" s="25" customFormat="1" x14ac:dyDescent="0.2">
      <c r="A12" s="25">
        <v>216.8951721</v>
      </c>
      <c r="B12" s="25">
        <v>80.25265503</v>
      </c>
      <c r="C12" s="25">
        <v>81.393081670000001</v>
      </c>
      <c r="D12" s="25">
        <v>88.412178040000001</v>
      </c>
      <c r="E12" s="25">
        <v>85.675048829999994</v>
      </c>
      <c r="F12" s="25">
        <v>4.8347167969999996</v>
      </c>
      <c r="G12" s="25">
        <v>5.1123757359999997</v>
      </c>
      <c r="H12" s="25">
        <v>21672.212889999999</v>
      </c>
      <c r="I12" s="25">
        <v>24025.84375</v>
      </c>
      <c r="J12" s="25">
        <v>195.6972198</v>
      </c>
      <c r="K12" s="25">
        <v>99.751296999999994</v>
      </c>
      <c r="L12" s="25">
        <v>13.57499981</v>
      </c>
      <c r="M12" s="25">
        <v>0.458999991</v>
      </c>
      <c r="N12" s="25">
        <v>27.88699913</v>
      </c>
      <c r="O12" s="25">
        <v>1.0130000109999999</v>
      </c>
      <c r="P12" s="25">
        <v>79.643180849999993</v>
      </c>
      <c r="Q12" s="25">
        <v>80.939498900000004</v>
      </c>
      <c r="R12" s="61">
        <f t="shared" si="0"/>
        <v>196.49596721233618</v>
      </c>
      <c r="S12" s="61">
        <f t="shared" si="1"/>
        <v>181.31447443975651</v>
      </c>
      <c r="T12" s="25">
        <v>9.966133438</v>
      </c>
      <c r="U12" s="25">
        <v>12.923113280000001</v>
      </c>
      <c r="V12" s="25">
        <v>96.729371540000002</v>
      </c>
      <c r="W12" s="25">
        <v>96.313830460000005</v>
      </c>
      <c r="X12" s="25">
        <v>22.889246709999998</v>
      </c>
      <c r="Y12" s="25">
        <v>96.494809540000006</v>
      </c>
    </row>
    <row r="13" spans="1:26" s="25" customFormat="1" x14ac:dyDescent="0.2">
      <c r="A13" s="25">
        <v>216.3092651</v>
      </c>
      <c r="B13" s="25">
        <v>80.774291989999995</v>
      </c>
      <c r="C13" s="25">
        <v>80.729225159999999</v>
      </c>
      <c r="D13" s="25">
        <v>88.861236570000003</v>
      </c>
      <c r="E13" s="25">
        <v>86.554260249999999</v>
      </c>
      <c r="F13" s="25">
        <v>4.812469482</v>
      </c>
      <c r="G13" s="25">
        <v>4.765106201</v>
      </c>
      <c r="H13" s="25">
        <v>22375.04492</v>
      </c>
      <c r="I13" s="25">
        <v>24337.359380000002</v>
      </c>
      <c r="J13" s="25">
        <v>195.427887</v>
      </c>
      <c r="K13" s="25">
        <v>99.774002080000002</v>
      </c>
      <c r="L13" s="25">
        <v>12.885000229999999</v>
      </c>
      <c r="M13" s="25">
        <v>0.41499999199999998</v>
      </c>
      <c r="N13" s="25">
        <v>25.652999879999999</v>
      </c>
      <c r="O13" s="25">
        <v>0.92100000400000004</v>
      </c>
      <c r="P13" s="25">
        <v>79.902748110000005</v>
      </c>
      <c r="Q13" s="25">
        <v>80.439468379999994</v>
      </c>
      <c r="R13" s="61">
        <f t="shared" si="0"/>
        <v>187.13854259833622</v>
      </c>
      <c r="S13" s="61">
        <f t="shared" si="1"/>
        <v>177.44033368846942</v>
      </c>
      <c r="T13" s="25">
        <v>9.0158354119999995</v>
      </c>
      <c r="U13" s="25">
        <v>11.631611960000001</v>
      </c>
      <c r="V13" s="25">
        <v>96.879699360000004</v>
      </c>
      <c r="W13" s="25">
        <v>96.266217209999994</v>
      </c>
      <c r="X13" s="25">
        <v>20.647447369999998</v>
      </c>
      <c r="Y13" s="25">
        <v>96.534206339999997</v>
      </c>
    </row>
    <row r="14" spans="1:26" s="25" customFormat="1" x14ac:dyDescent="0.2">
      <c r="A14" s="25">
        <v>210.91278080000001</v>
      </c>
      <c r="B14" s="25">
        <v>80.900817869999997</v>
      </c>
      <c r="C14" s="25">
        <v>80.002868649999996</v>
      </c>
      <c r="D14" s="25">
        <v>89.007568359999993</v>
      </c>
      <c r="E14" s="25">
        <v>86.810302730000004</v>
      </c>
      <c r="F14" s="25">
        <v>4.7833251949999998</v>
      </c>
      <c r="G14" s="25">
        <v>4.6105957030000004</v>
      </c>
      <c r="H14" s="25">
        <v>22292.228520000001</v>
      </c>
      <c r="I14" s="25">
        <v>24346.681639999999</v>
      </c>
      <c r="J14" s="25">
        <v>197.28298950000001</v>
      </c>
      <c r="K14" s="25">
        <v>99.761199950000005</v>
      </c>
      <c r="L14" s="25">
        <v>13.10900021</v>
      </c>
      <c r="M14" s="25">
        <v>0.39199999000000002</v>
      </c>
      <c r="N14" s="25">
        <v>27.649000170000001</v>
      </c>
      <c r="O14" s="25">
        <v>1.0529999729999999</v>
      </c>
      <c r="P14" s="25">
        <v>80.698661799999996</v>
      </c>
      <c r="Q14" s="25">
        <v>79.990921020000002</v>
      </c>
      <c r="R14" s="61">
        <f t="shared" si="0"/>
        <v>204.14658261386046</v>
      </c>
      <c r="S14" s="61">
        <f t="shared" si="1"/>
        <v>203.74669339740197</v>
      </c>
      <c r="T14" s="25">
        <v>10.23804047</v>
      </c>
      <c r="U14" s="25">
        <v>16.033824859999999</v>
      </c>
      <c r="V14" s="25">
        <v>97.096511489999997</v>
      </c>
      <c r="W14" s="25">
        <v>95.841918070000006</v>
      </c>
      <c r="X14" s="25">
        <v>26.271865330000001</v>
      </c>
      <c r="Y14" s="25">
        <v>96.331266220000003</v>
      </c>
    </row>
    <row r="15" spans="1:26" s="25" customFormat="1" x14ac:dyDescent="0.2">
      <c r="A15" s="25">
        <v>207.6828003</v>
      </c>
      <c r="B15" s="25">
        <v>81.136894229999996</v>
      </c>
      <c r="C15" s="25">
        <v>80.035018919999999</v>
      </c>
      <c r="D15" s="25">
        <v>88.916015630000004</v>
      </c>
      <c r="E15" s="25">
        <v>86.837776180000006</v>
      </c>
      <c r="F15" s="25">
        <v>4.7357177730000002</v>
      </c>
      <c r="G15" s="25">
        <v>4.819335938</v>
      </c>
      <c r="H15" s="25">
        <v>21981.61133</v>
      </c>
      <c r="I15" s="25">
        <v>24451.332030000001</v>
      </c>
      <c r="J15" s="25">
        <v>196.5241547</v>
      </c>
      <c r="K15" s="25">
        <v>99.755699160000006</v>
      </c>
      <c r="L15" s="25">
        <v>13.65400028</v>
      </c>
      <c r="M15" s="25">
        <v>0.40400001400000002</v>
      </c>
      <c r="N15" s="25">
        <v>28.118000030000001</v>
      </c>
      <c r="O15" s="25">
        <v>1.0099999900000001</v>
      </c>
      <c r="P15" s="25">
        <v>81.279747009999994</v>
      </c>
      <c r="Q15" s="25">
        <v>80.361099240000001</v>
      </c>
      <c r="R15" s="61">
        <f t="shared" si="0"/>
        <v>212.46410724230935</v>
      </c>
      <c r="S15" s="61">
        <f t="shared" si="1"/>
        <v>223.37807123913521</v>
      </c>
      <c r="T15" s="25">
        <v>11.267540410000001</v>
      </c>
      <c r="U15" s="25">
        <v>18.412426159999999</v>
      </c>
      <c r="V15" s="25">
        <v>97.126191449999993</v>
      </c>
      <c r="W15" s="25">
        <v>96.168855629999996</v>
      </c>
      <c r="X15" s="25">
        <v>29.679966570000001</v>
      </c>
      <c r="Y15" s="25">
        <v>96.53254604</v>
      </c>
    </row>
    <row r="16" spans="1:26" s="25" customFormat="1" x14ac:dyDescent="0.2">
      <c r="A16" s="25">
        <v>211.01638790000001</v>
      </c>
      <c r="B16" s="25">
        <v>80.960655209999999</v>
      </c>
      <c r="C16" s="25">
        <v>79.894905089999995</v>
      </c>
      <c r="D16" s="25">
        <v>89.016716000000002</v>
      </c>
      <c r="E16" s="25">
        <v>86.847076419999993</v>
      </c>
      <c r="F16" s="25">
        <v>4.7230324750000001</v>
      </c>
      <c r="G16" s="25">
        <v>4.8400168419999998</v>
      </c>
      <c r="H16" s="25">
        <v>22351.214840000001</v>
      </c>
      <c r="I16" s="25">
        <v>24538.910159999999</v>
      </c>
      <c r="J16" s="25">
        <v>197.92842099999999</v>
      </c>
      <c r="K16" s="25">
        <v>99.767601010000007</v>
      </c>
      <c r="L16" s="25">
        <v>13.402999879999999</v>
      </c>
      <c r="M16" s="25">
        <v>0.39100000299999998</v>
      </c>
      <c r="N16" s="25">
        <v>27.829999919999999</v>
      </c>
      <c r="O16" s="25">
        <v>1.0540000199999999</v>
      </c>
      <c r="P16" s="25">
        <v>80.561607359999996</v>
      </c>
      <c r="Q16" s="25">
        <v>79.917564389999995</v>
      </c>
      <c r="R16" s="61">
        <f t="shared" si="0"/>
        <v>197.66018821303101</v>
      </c>
      <c r="S16" s="61">
        <f t="shared" si="1"/>
        <v>198.41859885367711</v>
      </c>
      <c r="T16" s="25">
        <v>10.121432889999999</v>
      </c>
      <c r="U16" s="25">
        <v>15.61075729</v>
      </c>
      <c r="V16" s="25">
        <v>97.165434200000007</v>
      </c>
      <c r="W16" s="25">
        <v>95.821989860000002</v>
      </c>
      <c r="X16" s="25">
        <v>25.73219018</v>
      </c>
      <c r="Y16" s="25">
        <v>96.350920849999994</v>
      </c>
    </row>
    <row r="17" spans="1:25" s="25" customFormat="1" x14ac:dyDescent="0.2">
      <c r="A17" s="25">
        <v>213.02215580000001</v>
      </c>
      <c r="B17" s="25">
        <v>78.210731510000002</v>
      </c>
      <c r="C17" s="25">
        <v>79.560112000000004</v>
      </c>
      <c r="D17" s="25">
        <v>89.428710940000002</v>
      </c>
      <c r="E17" s="25">
        <v>87.753303529999997</v>
      </c>
      <c r="F17" s="25">
        <v>4.8394775389999998</v>
      </c>
      <c r="G17" s="25">
        <v>4.2767333980000002</v>
      </c>
      <c r="H17" s="25">
        <v>22899.109380000002</v>
      </c>
      <c r="I17" s="25">
        <v>25289.70508</v>
      </c>
      <c r="J17" s="25">
        <v>193.91246029999999</v>
      </c>
      <c r="K17" s="25">
        <v>99.745697019999994</v>
      </c>
      <c r="L17" s="25">
        <v>14.12699986</v>
      </c>
      <c r="M17" s="25">
        <v>0.43399998499999998</v>
      </c>
      <c r="N17" s="25">
        <v>28.86000061</v>
      </c>
      <c r="O17" s="25">
        <v>1.1440000530000001</v>
      </c>
      <c r="P17" s="25">
        <v>79.485748290000004</v>
      </c>
      <c r="Q17" s="25">
        <v>79.96266937</v>
      </c>
      <c r="R17" s="61">
        <f t="shared" si="0"/>
        <v>255.69718516782183</v>
      </c>
      <c r="S17" s="61">
        <f t="shared" si="1"/>
        <v>269.17084908852956</v>
      </c>
      <c r="T17" s="25">
        <v>13.696535989999999</v>
      </c>
      <c r="U17" s="25">
        <v>22.238178319999999</v>
      </c>
      <c r="V17" s="25">
        <v>97.019435549999997</v>
      </c>
      <c r="W17" s="25">
        <v>95.67377639</v>
      </c>
      <c r="X17" s="25">
        <v>35.934714309999997</v>
      </c>
      <c r="Y17" s="25">
        <v>96.187174949999999</v>
      </c>
    </row>
    <row r="18" spans="1:25" s="25" customFormat="1" x14ac:dyDescent="0.2">
      <c r="A18" s="25">
        <v>181.02830510000001</v>
      </c>
      <c r="B18" s="25">
        <v>78.032951350000005</v>
      </c>
      <c r="C18" s="25">
        <v>80.064689639999997</v>
      </c>
      <c r="D18" s="25">
        <v>88.943626399999999</v>
      </c>
      <c r="E18" s="25">
        <v>86.554405209999999</v>
      </c>
      <c r="F18" s="25">
        <v>5.3762669560000003</v>
      </c>
      <c r="G18" s="25">
        <v>5.2459115980000002</v>
      </c>
      <c r="H18" s="25">
        <v>21907.863280000001</v>
      </c>
      <c r="I18" s="25">
        <v>24327.167969999999</v>
      </c>
      <c r="J18" s="25">
        <v>148.02308650000001</v>
      </c>
      <c r="K18" s="25">
        <v>99.753898620000001</v>
      </c>
      <c r="L18" s="25">
        <v>13.059000019999999</v>
      </c>
      <c r="M18" s="25">
        <v>0.418000013</v>
      </c>
      <c r="N18" s="25">
        <v>27.754999160000001</v>
      </c>
      <c r="O18" s="25">
        <v>1.0829999450000001</v>
      </c>
      <c r="P18" s="25">
        <v>77.495124820000001</v>
      </c>
      <c r="Q18" s="25">
        <v>79.96440887</v>
      </c>
      <c r="R18" s="61">
        <f t="shared" si="0"/>
        <v>163.0271592934767</v>
      </c>
      <c r="S18" s="61">
        <f t="shared" si="1"/>
        <v>159.67074479611009</v>
      </c>
      <c r="T18" s="25">
        <v>9.5115414900000008</v>
      </c>
      <c r="U18" s="25">
        <v>14.593668429999999</v>
      </c>
      <c r="V18" s="25">
        <v>96.898419439999998</v>
      </c>
      <c r="W18" s="25">
        <v>95.817827190000003</v>
      </c>
      <c r="X18" s="25">
        <v>24.10520992</v>
      </c>
      <c r="Y18" s="25">
        <v>96.24453853</v>
      </c>
    </row>
    <row r="19" spans="1:25" s="25" customFormat="1" x14ac:dyDescent="0.2">
      <c r="A19" s="25">
        <v>208.54330440000001</v>
      </c>
      <c r="B19" s="25">
        <v>79.049964900000006</v>
      </c>
      <c r="C19" s="25">
        <v>83.013267519999999</v>
      </c>
      <c r="D19" s="25">
        <v>88.037109380000004</v>
      </c>
      <c r="E19" s="25">
        <v>85.153358460000007</v>
      </c>
      <c r="F19" s="25">
        <v>5.728546143</v>
      </c>
      <c r="G19" s="25">
        <v>5.6104636189999999</v>
      </c>
      <c r="H19" s="25">
        <v>22966.04492</v>
      </c>
      <c r="I19" s="25">
        <v>24040.728520000001</v>
      </c>
      <c r="J19" s="25">
        <v>186.37374879999999</v>
      </c>
      <c r="K19" s="25">
        <v>99.754798890000004</v>
      </c>
      <c r="L19" s="25">
        <v>15.175999640000001</v>
      </c>
      <c r="M19" s="25">
        <v>0.47499999399999998</v>
      </c>
      <c r="N19" s="25">
        <v>29.854999540000001</v>
      </c>
      <c r="O19" s="25">
        <v>1.190000057</v>
      </c>
      <c r="P19" s="25">
        <v>78.552589420000004</v>
      </c>
      <c r="Q19" s="25">
        <v>82.509162900000007</v>
      </c>
      <c r="R19" s="61">
        <f t="shared" si="0"/>
        <v>191.89606214501217</v>
      </c>
      <c r="S19" s="61">
        <f t="shared" si="1"/>
        <v>175.02359442505454</v>
      </c>
      <c r="T19" s="25">
        <v>11.28543477</v>
      </c>
      <c r="U19" s="25">
        <v>13.408738019999999</v>
      </c>
      <c r="V19" s="25">
        <v>96.965050120000001</v>
      </c>
      <c r="W19" s="25">
        <v>95.493897410000002</v>
      </c>
      <c r="X19" s="25">
        <v>24.69417279</v>
      </c>
      <c r="Y19" s="25">
        <v>96.166854330000007</v>
      </c>
    </row>
    <row r="20" spans="1:25" s="25" customFormat="1" x14ac:dyDescent="0.2">
      <c r="A20" s="25">
        <v>212.82028199999999</v>
      </c>
      <c r="B20" s="25">
        <v>84.305465699999999</v>
      </c>
      <c r="C20" s="25">
        <v>82.410621640000002</v>
      </c>
      <c r="D20" s="25">
        <v>88.430778500000002</v>
      </c>
      <c r="E20" s="25">
        <v>85.83984375</v>
      </c>
      <c r="F20" s="25">
        <v>5.3356933590000004</v>
      </c>
      <c r="G20" s="25">
        <v>5.307617188</v>
      </c>
      <c r="H20" s="25">
        <v>22906.203130000002</v>
      </c>
      <c r="I20" s="25">
        <v>24036.929690000001</v>
      </c>
      <c r="J20" s="25">
        <v>197.7895508</v>
      </c>
      <c r="K20" s="25">
        <v>99.767196659999996</v>
      </c>
      <c r="L20" s="25">
        <v>13.885000229999999</v>
      </c>
      <c r="M20" s="25">
        <v>0.41499999199999998</v>
      </c>
      <c r="N20" s="25">
        <v>27.98399925</v>
      </c>
      <c r="O20" s="25">
        <v>1.0789999960000001</v>
      </c>
      <c r="P20" s="25">
        <v>84.026260379999997</v>
      </c>
      <c r="Q20" s="25">
        <v>82.703865050000005</v>
      </c>
      <c r="R20" s="61">
        <f t="shared" si="0"/>
        <v>203.47523225826075</v>
      </c>
      <c r="S20" s="61">
        <f t="shared" si="1"/>
        <v>213.29013926965735</v>
      </c>
      <c r="T20" s="25">
        <v>10.71073938</v>
      </c>
      <c r="U20" s="25">
        <v>16.887759809999999</v>
      </c>
      <c r="V20" s="25">
        <v>97.097902199999993</v>
      </c>
      <c r="W20" s="25">
        <v>95.772516730000007</v>
      </c>
      <c r="X20" s="25">
        <v>27.598499189999998</v>
      </c>
      <c r="Y20" s="25">
        <v>96.287375620000006</v>
      </c>
    </row>
    <row r="21" spans="1:25" s="25" customFormat="1" x14ac:dyDescent="0.2">
      <c r="A21" s="25">
        <v>216.57760619999999</v>
      </c>
      <c r="B21" s="25">
        <v>81.291664119999993</v>
      </c>
      <c r="C21" s="25">
        <v>81.60325623</v>
      </c>
      <c r="D21" s="25">
        <v>87.982177730000004</v>
      </c>
      <c r="E21" s="25">
        <v>85.913085940000002</v>
      </c>
      <c r="F21" s="25">
        <v>5.891113281</v>
      </c>
      <c r="G21" s="25">
        <v>5.2850341800000002</v>
      </c>
      <c r="H21" s="25">
        <v>23023.927729999999</v>
      </c>
      <c r="I21" s="25">
        <v>23967.853520000001</v>
      </c>
      <c r="J21" s="25">
        <v>198.8324432</v>
      </c>
      <c r="K21" s="25">
        <v>99.66300201</v>
      </c>
      <c r="L21" s="25">
        <v>13.93999958</v>
      </c>
      <c r="M21" s="25">
        <v>0.46900001200000002</v>
      </c>
      <c r="N21" s="25">
        <v>28.084999079999999</v>
      </c>
      <c r="O21" s="25">
        <v>1.1280000210000001</v>
      </c>
      <c r="P21" s="25">
        <v>80.885330199999999</v>
      </c>
      <c r="Q21" s="25">
        <v>81.530014039999998</v>
      </c>
      <c r="R21" s="61">
        <f t="shared" si="0"/>
        <v>202.97754050585132</v>
      </c>
      <c r="S21" s="61">
        <f t="shared" si="1"/>
        <v>200.52611189860298</v>
      </c>
      <c r="T21" s="25">
        <v>10.594643230000001</v>
      </c>
      <c r="U21" s="25">
        <v>15.06497193</v>
      </c>
      <c r="V21" s="25">
        <v>96.745089699999994</v>
      </c>
      <c r="W21" s="25">
        <v>95.711741309999994</v>
      </c>
      <c r="X21" s="25">
        <v>25.659615169999999</v>
      </c>
      <c r="Y21" s="25">
        <v>96.138705180000002</v>
      </c>
    </row>
    <row r="22" spans="1:25" s="25" customFormat="1" x14ac:dyDescent="0.2">
      <c r="A22" s="25">
        <v>219.4656372</v>
      </c>
      <c r="B22" s="25">
        <v>83.265167239999997</v>
      </c>
      <c r="C22" s="25">
        <v>83.106842040000004</v>
      </c>
      <c r="D22" s="25">
        <v>88.696289059999998</v>
      </c>
      <c r="E22" s="25">
        <v>86.480712890000007</v>
      </c>
      <c r="F22" s="25">
        <v>5.3802490230000002</v>
      </c>
      <c r="G22" s="25">
        <v>5.0006103519999998</v>
      </c>
      <c r="H22" s="25">
        <v>23489.085940000001</v>
      </c>
      <c r="I22" s="25">
        <v>24933.507809999999</v>
      </c>
      <c r="J22" s="25">
        <v>199.62910460000001</v>
      </c>
      <c r="K22" s="25">
        <v>99.752502440000001</v>
      </c>
      <c r="L22" s="25">
        <v>14.15400028</v>
      </c>
      <c r="M22" s="25">
        <v>0.40799999199999998</v>
      </c>
      <c r="N22" s="25">
        <v>28.166000369999999</v>
      </c>
      <c r="O22" s="25">
        <v>1.1119999890000001</v>
      </c>
      <c r="P22" s="25">
        <v>83.025688169999995</v>
      </c>
      <c r="Q22" s="25">
        <v>83.151405330000003</v>
      </c>
      <c r="R22" s="61">
        <f t="shared" si="0"/>
        <v>211.45023183001834</v>
      </c>
      <c r="S22" s="61">
        <f t="shared" si="1"/>
        <v>212.94177275662224</v>
      </c>
      <c r="T22" s="25">
        <v>10.99158957</v>
      </c>
      <c r="U22" s="25">
        <v>15.93184142</v>
      </c>
      <c r="V22" s="25">
        <v>97.198187169999997</v>
      </c>
      <c r="W22" s="25">
        <v>95.513236520000007</v>
      </c>
      <c r="X22" s="25">
        <v>26.923431000000001</v>
      </c>
      <c r="Y22" s="25">
        <v>96.201926450000002</v>
      </c>
    </row>
    <row r="23" spans="1:25" s="25" customFormat="1" x14ac:dyDescent="0.2">
      <c r="A23" s="25">
        <v>214.43115230000001</v>
      </c>
      <c r="B23" s="25">
        <v>85.290504459999994</v>
      </c>
      <c r="C23" s="25">
        <v>84.824439999999996</v>
      </c>
      <c r="D23" s="25">
        <v>88.439941410000003</v>
      </c>
      <c r="E23" s="25">
        <v>85.885627749999998</v>
      </c>
      <c r="F23" s="25">
        <v>5.366210938</v>
      </c>
      <c r="G23" s="25">
        <v>5.2038574219999996</v>
      </c>
      <c r="H23" s="25">
        <v>23565.623049999998</v>
      </c>
      <c r="I23" s="25">
        <v>24842.328130000002</v>
      </c>
      <c r="J23" s="25">
        <v>198.58813480000001</v>
      </c>
      <c r="K23" s="25">
        <v>99.76080322</v>
      </c>
      <c r="L23" s="25">
        <v>14.05799961</v>
      </c>
      <c r="M23" s="25">
        <v>0.432999998</v>
      </c>
      <c r="N23" s="25">
        <v>28.239999770000001</v>
      </c>
      <c r="O23" s="25">
        <v>1.0629999640000001</v>
      </c>
      <c r="P23" s="25">
        <v>85.032447809999994</v>
      </c>
      <c r="Q23" s="25">
        <v>84.867752080000002</v>
      </c>
      <c r="R23" s="61">
        <f t="shared" si="0"/>
        <v>205.79395215482882</v>
      </c>
      <c r="S23" s="61">
        <f t="shared" si="1"/>
        <v>207.24361486905735</v>
      </c>
      <c r="T23" s="25">
        <v>10.896812860000001</v>
      </c>
      <c r="U23" s="25">
        <v>15.936683800000001</v>
      </c>
      <c r="V23" s="25">
        <v>97.011938380000004</v>
      </c>
      <c r="W23" s="25">
        <v>95.934534760000005</v>
      </c>
      <c r="X23" s="25">
        <v>26.833496660000002</v>
      </c>
      <c r="Y23" s="25">
        <v>96.372385170000001</v>
      </c>
    </row>
    <row r="24" spans="1:25" s="25" customFormat="1" x14ac:dyDescent="0.2">
      <c r="A24" s="25">
        <v>215.75775150000001</v>
      </c>
      <c r="B24" s="25">
        <v>84.73924255</v>
      </c>
      <c r="C24" s="25">
        <v>84.157730099999995</v>
      </c>
      <c r="D24" s="25">
        <v>88.119514469999999</v>
      </c>
      <c r="E24" s="25">
        <v>85.610954280000001</v>
      </c>
      <c r="F24" s="25">
        <v>8.0078125</v>
      </c>
      <c r="G24" s="25">
        <v>5.4559326170000002</v>
      </c>
      <c r="H24" s="25">
        <v>24072.845700000002</v>
      </c>
      <c r="I24" s="25">
        <v>24846.939450000002</v>
      </c>
      <c r="J24" s="25">
        <v>196.57592769999999</v>
      </c>
      <c r="K24" s="25">
        <v>99.770599369999999</v>
      </c>
      <c r="L24" s="25">
        <v>14.63399982</v>
      </c>
      <c r="M24" s="25">
        <v>0.42800000300000002</v>
      </c>
      <c r="N24" s="25">
        <v>28.565999980000001</v>
      </c>
      <c r="O24" s="25">
        <v>1.1080000400000001</v>
      </c>
      <c r="P24" s="25">
        <v>84.451553340000004</v>
      </c>
      <c r="Q24" s="25">
        <v>84.069389340000001</v>
      </c>
      <c r="R24" s="61">
        <f t="shared" si="0"/>
        <v>206.12874451112313</v>
      </c>
      <c r="S24" s="61">
        <f t="shared" si="1"/>
        <v>203.17196418751402</v>
      </c>
      <c r="T24" s="25">
        <v>11.271820679999999</v>
      </c>
      <c r="U24" s="25">
        <v>15.204445509999999</v>
      </c>
      <c r="V24" s="25">
        <v>97.158411839999999</v>
      </c>
      <c r="W24" s="25">
        <v>95.603364589999998</v>
      </c>
      <c r="X24" s="25">
        <v>26.47626619</v>
      </c>
      <c r="Y24" s="25">
        <v>96.266091399999993</v>
      </c>
    </row>
    <row r="25" spans="1:25" s="25" customFormat="1" x14ac:dyDescent="0.2">
      <c r="A25" s="25">
        <v>212.58956910000001</v>
      </c>
      <c r="B25" s="25">
        <v>84.224937440000005</v>
      </c>
      <c r="C25" s="25">
        <v>83.614151000000007</v>
      </c>
      <c r="D25" s="25">
        <v>87.854003910000003</v>
      </c>
      <c r="E25" s="25">
        <v>85.583496089999997</v>
      </c>
      <c r="F25" s="25">
        <v>5.8868408199999998</v>
      </c>
      <c r="G25" s="25">
        <v>5.6878662110000002</v>
      </c>
      <c r="H25" s="25">
        <v>24043.720700000002</v>
      </c>
      <c r="I25" s="25">
        <v>24759.583979999999</v>
      </c>
      <c r="J25" s="25">
        <v>197.61639400000001</v>
      </c>
      <c r="K25" s="25">
        <v>99.768402100000003</v>
      </c>
      <c r="L25" s="25">
        <v>14.557000159999999</v>
      </c>
      <c r="M25" s="25">
        <v>0.45100000499999998</v>
      </c>
      <c r="N25" s="25">
        <v>28.826999659999998</v>
      </c>
      <c r="O25" s="25">
        <v>1.108999968</v>
      </c>
      <c r="P25" s="25">
        <v>84.196098329999998</v>
      </c>
      <c r="Q25" s="25">
        <v>83.612495420000002</v>
      </c>
      <c r="R25" s="61">
        <f t="shared" si="0"/>
        <v>211.62431916329552</v>
      </c>
      <c r="S25" s="61">
        <f t="shared" si="1"/>
        <v>211.56890661796339</v>
      </c>
      <c r="T25" s="25">
        <v>11.70518908</v>
      </c>
      <c r="U25" s="25">
        <v>16.522906979999998</v>
      </c>
      <c r="V25" s="25">
        <v>96.994936030000005</v>
      </c>
      <c r="W25" s="25">
        <v>95.799191329999999</v>
      </c>
      <c r="X25" s="25">
        <v>28.228096059999999</v>
      </c>
      <c r="Y25" s="25">
        <v>96.29543031</v>
      </c>
    </row>
    <row r="26" spans="1:25" s="25" customFormat="1" x14ac:dyDescent="0.2">
      <c r="A26" s="25">
        <v>213.71017459999999</v>
      </c>
      <c r="B26" s="25">
        <v>84.356620789999994</v>
      </c>
      <c r="C26" s="25">
        <v>83.855407709999994</v>
      </c>
      <c r="D26" s="25">
        <v>87.762451170000006</v>
      </c>
      <c r="E26" s="25">
        <v>85.528564450000005</v>
      </c>
      <c r="F26" s="25">
        <v>6.0589599610000002</v>
      </c>
      <c r="G26" s="25">
        <v>5.4705810550000002</v>
      </c>
      <c r="H26" s="25">
        <v>24054.96875</v>
      </c>
      <c r="I26" s="25">
        <v>24887.16992</v>
      </c>
      <c r="J26" s="25">
        <v>197.20965580000001</v>
      </c>
      <c r="K26" s="25">
        <v>99.766899109999997</v>
      </c>
      <c r="L26" s="25">
        <v>13.277000429999999</v>
      </c>
      <c r="M26" s="25">
        <v>0.37799999099999998</v>
      </c>
      <c r="N26" s="25">
        <v>28.523000719999999</v>
      </c>
      <c r="O26" s="25">
        <v>1.1059999469999999</v>
      </c>
      <c r="P26" s="25">
        <v>84.313316349999994</v>
      </c>
      <c r="Q26" s="25">
        <v>83.752525329999997</v>
      </c>
      <c r="R26" s="61">
        <f t="shared" si="0"/>
        <v>212.2607675978764</v>
      </c>
      <c r="S26" s="61">
        <f t="shared" si="1"/>
        <v>208.8172767695194</v>
      </c>
      <c r="T26" s="25">
        <v>10.62317457</v>
      </c>
      <c r="U26" s="25">
        <v>16.808799700000002</v>
      </c>
      <c r="V26" s="25">
        <v>97.231783379999996</v>
      </c>
      <c r="W26" s="25">
        <v>95.656410260000001</v>
      </c>
      <c r="X26" s="25">
        <v>27.431974270000001</v>
      </c>
      <c r="Y26" s="25">
        <v>96.26717094</v>
      </c>
    </row>
    <row r="27" spans="1:25" s="25" customFormat="1" x14ac:dyDescent="0.2">
      <c r="A27" s="25">
        <v>210.2496185</v>
      </c>
      <c r="B27" s="25">
        <v>84.875007629999999</v>
      </c>
      <c r="C27" s="25">
        <v>84.589935299999993</v>
      </c>
      <c r="D27" s="25">
        <v>87.268524170000006</v>
      </c>
      <c r="E27" s="25">
        <v>85.244438169999995</v>
      </c>
      <c r="F27" s="25">
        <v>6.5315651890000002</v>
      </c>
      <c r="G27" s="25">
        <v>5.6891989709999997</v>
      </c>
      <c r="H27" s="25">
        <v>24044.644530000001</v>
      </c>
      <c r="I27" s="25">
        <v>24904.882809999999</v>
      </c>
      <c r="J27" s="25">
        <v>194.44367980000001</v>
      </c>
      <c r="K27" s="25">
        <v>99.759803770000005</v>
      </c>
      <c r="L27" s="25">
        <v>13.932000159999999</v>
      </c>
      <c r="M27" s="25">
        <v>0.416000009</v>
      </c>
      <c r="N27" s="25">
        <v>28.267000199999998</v>
      </c>
      <c r="O27" s="25">
        <v>1.065000057</v>
      </c>
      <c r="P27" s="25">
        <v>84.078094480000004</v>
      </c>
      <c r="Q27" s="25">
        <v>83.892456050000007</v>
      </c>
      <c r="R27" s="61">
        <f t="shared" si="0"/>
        <v>183.5767992765125</v>
      </c>
      <c r="S27" s="61">
        <f t="shared" si="1"/>
        <v>160.23204966686757</v>
      </c>
      <c r="T27" s="25">
        <v>9.8149843109999999</v>
      </c>
      <c r="U27" s="25">
        <v>11.365396</v>
      </c>
      <c r="V27" s="25">
        <v>97.100641179999997</v>
      </c>
      <c r="W27" s="25">
        <v>95.736441639999995</v>
      </c>
      <c r="X27" s="25">
        <v>21.18038031</v>
      </c>
      <c r="Y27" s="25">
        <v>96.369152979999996</v>
      </c>
    </row>
    <row r="28" spans="1:25" s="25" customFormat="1" x14ac:dyDescent="0.2">
      <c r="A28" s="25">
        <v>214.3149109</v>
      </c>
      <c r="B28" s="25">
        <v>83.949958800000005</v>
      </c>
      <c r="C28" s="25">
        <v>84.153144839999996</v>
      </c>
      <c r="D28" s="25">
        <v>87.405540470000005</v>
      </c>
      <c r="E28" s="25">
        <v>84.805290220000003</v>
      </c>
      <c r="F28" s="25">
        <v>6.6637368199999996</v>
      </c>
      <c r="G28" s="25">
        <v>6.0959267620000004</v>
      </c>
      <c r="H28" s="25">
        <v>23998.828130000002</v>
      </c>
      <c r="I28" s="25">
        <v>24847.251950000002</v>
      </c>
      <c r="J28" s="25">
        <v>195.00956729999999</v>
      </c>
      <c r="K28" s="25">
        <v>99.756202700000003</v>
      </c>
      <c r="L28" s="25">
        <v>13.73799992</v>
      </c>
      <c r="M28" s="25">
        <v>0.44699999699999998</v>
      </c>
      <c r="N28" s="25">
        <v>28.08799934</v>
      </c>
      <c r="O28" s="25">
        <v>1.0859999659999999</v>
      </c>
      <c r="P28" s="25">
        <v>83.288902280000002</v>
      </c>
      <c r="Q28" s="25">
        <v>83.329292300000006</v>
      </c>
      <c r="R28" s="61">
        <f t="shared" si="0"/>
        <v>192.18923628355284</v>
      </c>
      <c r="S28" s="61">
        <f t="shared" si="1"/>
        <v>164.61475107618628</v>
      </c>
      <c r="T28" s="25">
        <v>9.9693173040000005</v>
      </c>
      <c r="U28" s="25">
        <v>11.26569301</v>
      </c>
      <c r="V28" s="25">
        <v>96.848783929999996</v>
      </c>
      <c r="W28" s="25">
        <v>95.771331619999998</v>
      </c>
      <c r="X28" s="25">
        <v>21.23501031</v>
      </c>
      <c r="Y28" s="25">
        <v>96.277507400000005</v>
      </c>
    </row>
    <row r="29" spans="1:25" s="25" customFormat="1" x14ac:dyDescent="0.2">
      <c r="A29" s="25">
        <v>209.64797970000001</v>
      </c>
      <c r="B29" s="25">
        <v>84.852966309999999</v>
      </c>
      <c r="C29" s="25">
        <v>84.094306950000004</v>
      </c>
      <c r="D29" s="25">
        <v>87.313850400000007</v>
      </c>
      <c r="E29" s="25">
        <v>85.491943359999993</v>
      </c>
      <c r="F29" s="25">
        <v>6.5447998050000002</v>
      </c>
      <c r="G29" s="25">
        <v>5.5426025389999998</v>
      </c>
      <c r="H29" s="25">
        <v>24083.132809999999</v>
      </c>
      <c r="I29" s="25">
        <v>24919.865229999999</v>
      </c>
      <c r="J29" s="25">
        <v>194.37556459999999</v>
      </c>
      <c r="K29" s="25">
        <v>99.765899660000002</v>
      </c>
      <c r="L29" s="25">
        <v>13.81999969</v>
      </c>
      <c r="M29" s="25">
        <v>0.42399999500000002</v>
      </c>
      <c r="N29" s="25">
        <v>28.111000059999999</v>
      </c>
      <c r="O29" s="25">
        <v>1.0499999520000001</v>
      </c>
      <c r="P29" s="25">
        <v>84.261352540000004</v>
      </c>
      <c r="Q29" s="25">
        <v>83.806343080000005</v>
      </c>
      <c r="R29" s="61">
        <f t="shared" si="0"/>
        <v>189.84656578515134</v>
      </c>
      <c r="S29" s="61">
        <f t="shared" si="1"/>
        <v>180.20836587916926</v>
      </c>
      <c r="T29" s="25">
        <v>10.10584122</v>
      </c>
      <c r="U29" s="25">
        <v>13.64192283</v>
      </c>
      <c r="V29" s="25">
        <v>97.023308029999995</v>
      </c>
      <c r="W29" s="25">
        <v>95.936451950000006</v>
      </c>
      <c r="X29" s="25">
        <v>23.747764050000001</v>
      </c>
      <c r="Y29" s="25">
        <v>96.399300600000004</v>
      </c>
    </row>
    <row r="30" spans="1:25" s="25" customFormat="1" x14ac:dyDescent="0.2">
      <c r="A30" s="25">
        <v>209.72625729999999</v>
      </c>
      <c r="B30" s="25">
        <v>84.28872681</v>
      </c>
      <c r="C30" s="25">
        <v>84.167762760000002</v>
      </c>
      <c r="D30" s="25">
        <v>87.258903500000002</v>
      </c>
      <c r="E30" s="25">
        <v>85.180664059999998</v>
      </c>
      <c r="F30" s="25">
        <v>6.1895751949999998</v>
      </c>
      <c r="G30" s="25">
        <v>5.6707763670000002</v>
      </c>
      <c r="H30" s="25">
        <v>24081.777340000001</v>
      </c>
      <c r="I30" s="25">
        <v>24851.179690000001</v>
      </c>
      <c r="J30" s="25">
        <v>194.37074279999999</v>
      </c>
      <c r="K30" s="25">
        <v>99.768699650000002</v>
      </c>
      <c r="L30" s="25">
        <v>14.06099987</v>
      </c>
      <c r="M30" s="25">
        <v>0.42800000300000002</v>
      </c>
      <c r="N30" s="25">
        <v>28.35400009</v>
      </c>
      <c r="O30" s="25">
        <v>1.1000000240000001</v>
      </c>
      <c r="P30" s="25">
        <v>84.015594480000004</v>
      </c>
      <c r="Q30" s="25">
        <v>83.763442990000001</v>
      </c>
      <c r="R30" s="61">
        <f t="shared" si="0"/>
        <v>200.58447157067695</v>
      </c>
      <c r="S30" s="61">
        <f t="shared" si="1"/>
        <v>187.05181982099489</v>
      </c>
      <c r="T30" s="25">
        <v>10.85644448</v>
      </c>
      <c r="U30" s="25">
        <v>14.034726620000001</v>
      </c>
      <c r="V30" s="25">
        <v>97.046034879999993</v>
      </c>
      <c r="W30" s="25">
        <v>95.660500859999999</v>
      </c>
      <c r="X30" s="25">
        <v>24.891171100000001</v>
      </c>
      <c r="Y30" s="25">
        <v>96.265362870000004</v>
      </c>
    </row>
    <row r="31" spans="1:25" s="25" customFormat="1" x14ac:dyDescent="0.2">
      <c r="A31" s="25">
        <v>210.94161990000001</v>
      </c>
      <c r="B31" s="25">
        <v>84.187866209999996</v>
      </c>
      <c r="C31" s="25">
        <v>83.790367130000007</v>
      </c>
      <c r="D31" s="25">
        <v>87.231445309999998</v>
      </c>
      <c r="E31" s="25">
        <v>85.372932430000006</v>
      </c>
      <c r="F31" s="25">
        <v>6.4660644530000004</v>
      </c>
      <c r="G31" s="25">
        <v>5.6011962889999998</v>
      </c>
      <c r="H31" s="25">
        <v>24025.4375</v>
      </c>
      <c r="I31" s="25">
        <v>24942.908200000002</v>
      </c>
      <c r="J31" s="25">
        <v>194.26664729999999</v>
      </c>
      <c r="K31" s="25">
        <v>99.763801569999998</v>
      </c>
      <c r="L31" s="25">
        <v>13.97999954</v>
      </c>
      <c r="M31" s="25">
        <v>0.430999994</v>
      </c>
      <c r="N31" s="25">
        <v>28.14599991</v>
      </c>
      <c r="O31" s="25">
        <v>1.0900000329999999</v>
      </c>
      <c r="P31" s="25">
        <v>84.277564999999996</v>
      </c>
      <c r="Q31" s="25">
        <v>83.948432920000002</v>
      </c>
      <c r="R31" s="61">
        <f t="shared" si="0"/>
        <v>213.94385371962713</v>
      </c>
      <c r="S31" s="61">
        <f t="shared" si="1"/>
        <v>219.23434270464091</v>
      </c>
      <c r="T31" s="25">
        <v>11.45186938</v>
      </c>
      <c r="U31" s="25">
        <v>17.340292049999999</v>
      </c>
      <c r="V31" s="25">
        <v>97.009229000000005</v>
      </c>
      <c r="W31" s="25">
        <v>95.783955230000004</v>
      </c>
      <c r="X31" s="25">
        <v>28.79216143</v>
      </c>
      <c r="Y31" s="25">
        <v>96.271719680000004</v>
      </c>
    </row>
    <row r="32" spans="1:25" s="25" customFormat="1" x14ac:dyDescent="0.2">
      <c r="A32" s="25">
        <v>213.81317139999999</v>
      </c>
      <c r="B32" s="25">
        <v>83.649551389999999</v>
      </c>
      <c r="C32" s="25">
        <v>83.763473509999997</v>
      </c>
      <c r="D32" s="25">
        <v>87.405387880000006</v>
      </c>
      <c r="E32" s="25">
        <v>84.869384769999996</v>
      </c>
      <c r="F32" s="25">
        <v>6.525878906</v>
      </c>
      <c r="G32" s="25">
        <v>5.952148438</v>
      </c>
      <c r="H32" s="25">
        <v>24031.572270000001</v>
      </c>
      <c r="I32" s="25">
        <v>24936.779299999998</v>
      </c>
      <c r="J32" s="25">
        <v>195.41578670000001</v>
      </c>
      <c r="K32" s="25">
        <v>99.753097530000005</v>
      </c>
      <c r="L32" s="25">
        <v>13.92700005</v>
      </c>
      <c r="M32" s="25">
        <v>0.42599999900000002</v>
      </c>
      <c r="N32" s="25">
        <v>28.159999849999998</v>
      </c>
      <c r="O32" s="25">
        <v>1.06400001</v>
      </c>
      <c r="P32" s="25">
        <v>83.806869509999999</v>
      </c>
      <c r="Q32" s="25">
        <v>83.722877499999996</v>
      </c>
      <c r="R32" s="61">
        <f t="shared" si="0"/>
        <v>219.07863574243044</v>
      </c>
      <c r="S32" s="61">
        <f t="shared" si="1"/>
        <v>217.71988035493942</v>
      </c>
      <c r="T32" s="25">
        <v>11.52359622</v>
      </c>
      <c r="U32" s="25">
        <v>16.674219350000001</v>
      </c>
      <c r="V32" s="25">
        <v>97.031979390000004</v>
      </c>
      <c r="W32" s="25">
        <v>95.893547510000005</v>
      </c>
      <c r="X32" s="25">
        <v>28.19781558</v>
      </c>
      <c r="Y32" s="25">
        <v>96.359156799999994</v>
      </c>
    </row>
    <row r="33" spans="1:25" s="25" customFormat="1" x14ac:dyDescent="0.2">
      <c r="A33" s="25">
        <v>210.13000489999999</v>
      </c>
      <c r="B33" s="25">
        <v>83.81578064</v>
      </c>
      <c r="C33" s="25">
        <v>83.364730829999999</v>
      </c>
      <c r="D33" s="25">
        <v>86.984260559999996</v>
      </c>
      <c r="E33" s="25">
        <v>85.25390625</v>
      </c>
      <c r="F33" s="25">
        <v>6.8023681639999998</v>
      </c>
      <c r="G33" s="25">
        <v>5.8489990230000002</v>
      </c>
      <c r="H33" s="25">
        <v>24083.712889999999</v>
      </c>
      <c r="I33" s="25">
        <v>24899.199219999999</v>
      </c>
      <c r="J33" s="25">
        <v>196.85537719999999</v>
      </c>
      <c r="K33" s="25">
        <v>99.767997739999998</v>
      </c>
      <c r="L33" s="25">
        <v>14.022000309999999</v>
      </c>
      <c r="M33" s="25">
        <v>0.45500001299999998</v>
      </c>
      <c r="N33" s="25">
        <v>28.091999049999998</v>
      </c>
      <c r="O33" s="25">
        <v>1.0750000479999999</v>
      </c>
      <c r="P33" s="25">
        <v>83.299110409999997</v>
      </c>
      <c r="Q33" s="25">
        <v>82.898559570000003</v>
      </c>
      <c r="R33" s="61">
        <f t="shared" si="0"/>
        <v>192.8369640674477</v>
      </c>
      <c r="S33" s="61">
        <f t="shared" si="1"/>
        <v>177.23413238476638</v>
      </c>
      <c r="T33" s="25">
        <v>10.410812870000001</v>
      </c>
      <c r="U33" s="25">
        <v>12.898052379999999</v>
      </c>
      <c r="V33" s="25">
        <v>96.857083630000005</v>
      </c>
      <c r="W33" s="25">
        <v>95.875732369999994</v>
      </c>
      <c r="X33" s="25">
        <v>23.30886525</v>
      </c>
      <c r="Y33" s="25">
        <v>96.314327559999995</v>
      </c>
    </row>
    <row r="34" spans="1:25" s="25" customFormat="1" x14ac:dyDescent="0.2">
      <c r="A34" s="25">
        <v>211.88885500000001</v>
      </c>
      <c r="B34" s="25">
        <v>83.858154299999995</v>
      </c>
      <c r="C34" s="25">
        <v>84.089309689999993</v>
      </c>
      <c r="D34" s="25">
        <v>87.130439760000002</v>
      </c>
      <c r="E34" s="25">
        <v>85.318595889999997</v>
      </c>
      <c r="F34" s="25">
        <v>6.352518559</v>
      </c>
      <c r="G34" s="25">
        <v>5.6191916470000001</v>
      </c>
      <c r="H34" s="25">
        <v>24045.082030000001</v>
      </c>
      <c r="I34" s="25">
        <v>24897.064450000002</v>
      </c>
      <c r="J34" s="25">
        <v>195.1540833</v>
      </c>
      <c r="K34" s="25">
        <v>99.759300229999994</v>
      </c>
      <c r="L34" s="25">
        <v>13.795000079999999</v>
      </c>
      <c r="M34" s="25">
        <v>0.418000013</v>
      </c>
      <c r="N34" s="25">
        <v>27.82600021</v>
      </c>
      <c r="O34" s="25">
        <v>1.0579999689999999</v>
      </c>
      <c r="P34" s="25">
        <v>83.928062440000005</v>
      </c>
      <c r="Q34" s="25">
        <v>83.831146239999995</v>
      </c>
      <c r="R34" s="61">
        <f t="shared" si="0"/>
        <v>214.22869238437562</v>
      </c>
      <c r="S34" s="61">
        <f t="shared" si="1"/>
        <v>205.58791762496571</v>
      </c>
      <c r="T34" s="25">
        <v>11.258856789999999</v>
      </c>
      <c r="U34" s="25">
        <v>15.29595378</v>
      </c>
      <c r="V34" s="25">
        <v>97.059030390000004</v>
      </c>
      <c r="W34" s="25">
        <v>95.804882320000004</v>
      </c>
      <c r="X34" s="25">
        <v>26.554810570000001</v>
      </c>
      <c r="Y34" s="25">
        <v>96.337072559999996</v>
      </c>
    </row>
    <row r="35" spans="1:25" s="25" customFormat="1" x14ac:dyDescent="0.2">
      <c r="A35" s="25">
        <v>213.20755</v>
      </c>
      <c r="B35" s="25">
        <v>84.01296997</v>
      </c>
      <c r="C35" s="25">
        <v>83.569755549999996</v>
      </c>
      <c r="D35" s="25">
        <v>87.3046875</v>
      </c>
      <c r="E35" s="25">
        <v>85.528564450000005</v>
      </c>
      <c r="F35" s="25">
        <v>6.3995361329999998</v>
      </c>
      <c r="G35" s="25">
        <v>5.3631591800000002</v>
      </c>
      <c r="H35" s="25">
        <v>24039.876950000002</v>
      </c>
      <c r="I35" s="25">
        <v>24931.427729999999</v>
      </c>
      <c r="J35" s="25">
        <v>195.46987920000001</v>
      </c>
      <c r="K35" s="25">
        <v>99.7621994</v>
      </c>
      <c r="L35" s="25">
        <v>13.95100021</v>
      </c>
      <c r="M35" s="25">
        <v>0.42599999900000002</v>
      </c>
      <c r="N35" s="25">
        <v>28.215000150000002</v>
      </c>
      <c r="O35" s="25">
        <v>1.0590000150000001</v>
      </c>
      <c r="P35" s="25">
        <v>83.497001650000001</v>
      </c>
      <c r="Q35" s="25">
        <v>83.422958370000003</v>
      </c>
      <c r="R35" s="61">
        <f t="shared" si="0"/>
        <v>195.93800221501664</v>
      </c>
      <c r="S35" s="61">
        <f t="shared" si="1"/>
        <v>191.02467553110185</v>
      </c>
      <c r="T35" s="25">
        <v>10.351946160000001</v>
      </c>
      <c r="U35" s="25">
        <v>14.49824162</v>
      </c>
      <c r="V35" s="25">
        <v>97.036934040000006</v>
      </c>
      <c r="W35" s="25">
        <v>95.914534349999997</v>
      </c>
      <c r="X35" s="25">
        <v>24.850187779999999</v>
      </c>
      <c r="Y35" s="25">
        <v>96.382455390000004</v>
      </c>
    </row>
    <row r="36" spans="1:25" s="25" customFormat="1" x14ac:dyDescent="0.2">
      <c r="A36" s="25">
        <v>208.12239070000001</v>
      </c>
      <c r="B36" s="25">
        <v>84.255889890000006</v>
      </c>
      <c r="C36" s="25">
        <v>84.587120060000004</v>
      </c>
      <c r="D36" s="25">
        <v>87.396545410000002</v>
      </c>
      <c r="E36" s="25">
        <v>85.225837709999993</v>
      </c>
      <c r="F36" s="25">
        <v>6.1778769489999998</v>
      </c>
      <c r="G36" s="25">
        <v>5.5970253940000001</v>
      </c>
      <c r="H36" s="25">
        <v>23957.537110000001</v>
      </c>
      <c r="I36" s="25">
        <v>24783.365229999999</v>
      </c>
      <c r="J36" s="25">
        <v>193.2686157</v>
      </c>
      <c r="K36" s="25">
        <v>99.723396300000005</v>
      </c>
      <c r="L36" s="25">
        <v>14.010000229999999</v>
      </c>
      <c r="M36" s="25">
        <v>0.45300000899999998</v>
      </c>
      <c r="N36" s="25">
        <v>28.1590004</v>
      </c>
      <c r="O36" s="25">
        <v>1.0800000430000001</v>
      </c>
      <c r="P36" s="25">
        <v>83.907798769999999</v>
      </c>
      <c r="Q36" s="25">
        <v>84.037139890000006</v>
      </c>
      <c r="R36" s="61">
        <f t="shared" si="0"/>
        <v>196.47172146827566</v>
      </c>
      <c r="S36" s="61">
        <f t="shared" si="1"/>
        <v>178.0637912554125</v>
      </c>
      <c r="T36" s="25">
        <v>10.70365715</v>
      </c>
      <c r="U36" s="25">
        <v>13.00940801</v>
      </c>
      <c r="V36" s="25">
        <v>96.867869729999995</v>
      </c>
      <c r="W36" s="25">
        <v>95.843713030000004</v>
      </c>
      <c r="X36" s="25">
        <v>23.71306517</v>
      </c>
      <c r="Y36" s="25">
        <v>96.306303130000003</v>
      </c>
    </row>
    <row r="37" spans="1:25" s="25" customFormat="1" x14ac:dyDescent="0.2">
      <c r="A37" s="25">
        <v>213.1676636</v>
      </c>
      <c r="B37" s="25">
        <v>84.350379939999996</v>
      </c>
      <c r="C37" s="25">
        <v>84.287834169999996</v>
      </c>
      <c r="D37" s="25">
        <v>87.314002990000006</v>
      </c>
      <c r="E37" s="25">
        <v>85.41001129</v>
      </c>
      <c r="F37" s="25">
        <v>6.4244589809999999</v>
      </c>
      <c r="G37" s="25">
        <v>5.5668640140000001</v>
      </c>
      <c r="H37" s="25">
        <v>24108.125</v>
      </c>
      <c r="I37" s="25">
        <v>24971.222659999999</v>
      </c>
      <c r="J37" s="25">
        <v>193.44834900000001</v>
      </c>
      <c r="K37" s="25">
        <v>99.768898010000001</v>
      </c>
      <c r="L37" s="25">
        <v>13.963000299999999</v>
      </c>
      <c r="M37" s="25">
        <v>0.43200001100000002</v>
      </c>
      <c r="N37" s="25">
        <v>28.426000599999998</v>
      </c>
      <c r="O37" s="25">
        <v>1.0540000199999999</v>
      </c>
      <c r="P37" s="25">
        <v>84.083938599999996</v>
      </c>
      <c r="Q37" s="25">
        <v>84.10903931</v>
      </c>
      <c r="R37" s="61">
        <f t="shared" si="0"/>
        <v>204.24982644863184</v>
      </c>
      <c r="S37" s="61">
        <f t="shared" si="1"/>
        <v>198.26553195070733</v>
      </c>
      <c r="T37" s="25">
        <v>10.80636994</v>
      </c>
      <c r="U37" s="25">
        <v>15.16910341</v>
      </c>
      <c r="V37" s="25">
        <v>96.998957959999998</v>
      </c>
      <c r="W37" s="25">
        <v>96.015122059999996</v>
      </c>
      <c r="X37" s="25">
        <v>25.975473350000001</v>
      </c>
      <c r="Y37" s="25">
        <v>96.424694709999997</v>
      </c>
    </row>
    <row r="38" spans="1:25" s="25" customFormat="1" x14ac:dyDescent="0.2">
      <c r="A38" s="25">
        <v>214.2528992</v>
      </c>
      <c r="B38" s="25">
        <v>85.097747799999993</v>
      </c>
      <c r="C38" s="25">
        <v>84.583419800000001</v>
      </c>
      <c r="D38" s="25">
        <v>87.240608219999999</v>
      </c>
      <c r="E38" s="25">
        <v>85.574638370000002</v>
      </c>
      <c r="F38" s="25">
        <v>6.3094582560000001</v>
      </c>
      <c r="G38" s="25">
        <v>5.4629311559999998</v>
      </c>
      <c r="H38" s="25">
        <v>24020.585940000001</v>
      </c>
      <c r="I38" s="25">
        <v>24869.935549999998</v>
      </c>
      <c r="J38" s="25">
        <v>193.40405269999999</v>
      </c>
      <c r="K38" s="25">
        <v>99.765998839999995</v>
      </c>
      <c r="L38" s="25">
        <v>14.09300041</v>
      </c>
      <c r="M38" s="25">
        <v>0.44600001</v>
      </c>
      <c r="N38" s="25">
        <v>28.836000439999999</v>
      </c>
      <c r="O38" s="25">
        <v>1.0909999610000001</v>
      </c>
      <c r="P38" s="25">
        <v>84.569984439999999</v>
      </c>
      <c r="Q38" s="25">
        <v>84.227302550000005</v>
      </c>
      <c r="R38" s="61">
        <f t="shared" si="0"/>
        <v>196.58856941191669</v>
      </c>
      <c r="S38" s="61">
        <f t="shared" si="1"/>
        <v>184.66926423842887</v>
      </c>
      <c r="T38" s="25">
        <v>10.452985699999999</v>
      </c>
      <c r="U38" s="25">
        <v>13.98635571</v>
      </c>
      <c r="V38" s="25">
        <v>96.932388770000003</v>
      </c>
      <c r="W38" s="25">
        <v>95.922027029999995</v>
      </c>
      <c r="X38" s="25">
        <v>24.439341410000001</v>
      </c>
      <c r="Y38" s="25">
        <v>96.354462710000007</v>
      </c>
    </row>
    <row r="39" spans="1:25" s="25" customFormat="1" x14ac:dyDescent="0.2">
      <c r="A39" s="25">
        <v>209.3060303</v>
      </c>
      <c r="B39" s="25">
        <v>84.092468260000004</v>
      </c>
      <c r="C39" s="25">
        <v>83.899887079999999</v>
      </c>
      <c r="D39" s="25">
        <v>87.332145690000004</v>
      </c>
      <c r="E39" s="25">
        <v>85.519416809999996</v>
      </c>
      <c r="F39" s="25">
        <v>6.3171386719999996</v>
      </c>
      <c r="G39" s="25">
        <v>5.471191406</v>
      </c>
      <c r="H39" s="25">
        <v>23982.632809999999</v>
      </c>
      <c r="I39" s="25">
        <v>24953.314450000002</v>
      </c>
      <c r="J39" s="25">
        <v>193.7983093</v>
      </c>
      <c r="K39" s="25">
        <v>99.755096440000003</v>
      </c>
      <c r="L39" s="25">
        <v>14.15499973</v>
      </c>
      <c r="M39" s="25">
        <v>0.42300000799999998</v>
      </c>
      <c r="N39" s="25">
        <v>28.474000929999999</v>
      </c>
      <c r="O39" s="25">
        <v>1.083999991</v>
      </c>
      <c r="P39" s="25">
        <v>83.954101559999998</v>
      </c>
      <c r="Q39" s="25">
        <v>83.776512150000002</v>
      </c>
      <c r="R39" s="61">
        <f t="shared" si="0"/>
        <v>204.67487322140153</v>
      </c>
      <c r="S39" s="61">
        <f t="shared" si="1"/>
        <v>200.54549324492558</v>
      </c>
      <c r="T39" s="25">
        <v>11.16909633</v>
      </c>
      <c r="U39" s="25">
        <v>15.667236859999999</v>
      </c>
      <c r="V39" s="25">
        <v>97.098367300000007</v>
      </c>
      <c r="W39" s="25">
        <v>95.785907969999997</v>
      </c>
      <c r="X39" s="25">
        <v>26.836333190000001</v>
      </c>
      <c r="Y39" s="25">
        <v>96.332634290000001</v>
      </c>
    </row>
    <row r="40" spans="1:25" s="25" customFormat="1" x14ac:dyDescent="0.2">
      <c r="A40" s="25">
        <v>208.83163450000001</v>
      </c>
      <c r="B40" s="25">
        <v>83.403411869999999</v>
      </c>
      <c r="C40" s="25">
        <v>83.063423159999999</v>
      </c>
      <c r="D40" s="25">
        <v>87.176513670000006</v>
      </c>
      <c r="E40" s="25">
        <v>85.171806340000003</v>
      </c>
      <c r="F40" s="25">
        <v>6.6590476040000004</v>
      </c>
      <c r="G40" s="25">
        <v>5.7608542439999999</v>
      </c>
      <c r="H40" s="25">
        <v>24044.609380000002</v>
      </c>
      <c r="I40" s="25">
        <v>24952.212889999999</v>
      </c>
      <c r="J40" s="25">
        <v>194.37953189999999</v>
      </c>
      <c r="K40" s="25">
        <v>99.748596190000001</v>
      </c>
      <c r="L40" s="25">
        <v>13.23700047</v>
      </c>
      <c r="M40" s="25">
        <v>0.439999998</v>
      </c>
      <c r="N40" s="25">
        <v>27.478000640000001</v>
      </c>
      <c r="O40" s="25">
        <v>1.131999969</v>
      </c>
      <c r="P40" s="25">
        <v>83.959220889999997</v>
      </c>
      <c r="Q40" s="25">
        <v>83.944778439999993</v>
      </c>
      <c r="R40" s="61">
        <f t="shared" si="0"/>
        <v>227.4346573177861</v>
      </c>
      <c r="S40" s="61">
        <f t="shared" si="1"/>
        <v>256.93376905299363</v>
      </c>
      <c r="T40" s="25">
        <v>11.675546819999999</v>
      </c>
      <c r="U40" s="25">
        <v>21.69282317</v>
      </c>
      <c r="V40" s="25">
        <v>96.782920360000006</v>
      </c>
      <c r="W40" s="25">
        <v>95.644754079999998</v>
      </c>
      <c r="X40" s="25">
        <v>33.368369999999999</v>
      </c>
      <c r="Y40" s="25">
        <v>96.043341679999997</v>
      </c>
    </row>
    <row r="41" spans="1:25" s="25" customFormat="1" x14ac:dyDescent="0.2">
      <c r="A41" s="25">
        <v>209.29779049999999</v>
      </c>
      <c r="B41" s="25">
        <v>84.285430910000002</v>
      </c>
      <c r="C41" s="25">
        <v>83.956962590000003</v>
      </c>
      <c r="D41" s="25">
        <v>87.268066410000003</v>
      </c>
      <c r="E41" s="25">
        <v>85.400390630000004</v>
      </c>
      <c r="F41" s="25">
        <v>6.394042969</v>
      </c>
      <c r="G41" s="25">
        <v>5.6799316409999996</v>
      </c>
      <c r="H41" s="25">
        <v>24102.802729999999</v>
      </c>
      <c r="I41" s="25">
        <v>24817.835940000001</v>
      </c>
      <c r="J41" s="25">
        <v>194.0172882</v>
      </c>
      <c r="K41" s="25">
        <v>99.75</v>
      </c>
      <c r="L41" s="25">
        <v>14.071999549999999</v>
      </c>
      <c r="M41" s="25">
        <v>0.43399998499999998</v>
      </c>
      <c r="N41" s="25">
        <v>28.356000900000002</v>
      </c>
      <c r="O41" s="25">
        <v>1.095999956</v>
      </c>
      <c r="P41" s="25">
        <v>84.096969599999994</v>
      </c>
      <c r="Q41" s="25">
        <v>83.98857117</v>
      </c>
      <c r="R41" s="61">
        <f t="shared" si="0"/>
        <v>202.98995826978535</v>
      </c>
      <c r="S41" s="61">
        <f t="shared" si="1"/>
        <v>204.04790284034621</v>
      </c>
      <c r="T41" s="25">
        <v>11.02460293</v>
      </c>
      <c r="U41" s="25">
        <v>16.186669250000001</v>
      </c>
      <c r="V41" s="25">
        <v>97.008134569999996</v>
      </c>
      <c r="W41" s="25">
        <v>95.781159410000001</v>
      </c>
      <c r="X41" s="25">
        <v>27.211272170000001</v>
      </c>
      <c r="Y41" s="25">
        <v>96.278691010000003</v>
      </c>
    </row>
    <row r="42" spans="1:25" s="25" customFormat="1" x14ac:dyDescent="0.2">
      <c r="A42" s="25">
        <v>206.6764526</v>
      </c>
      <c r="B42" s="25">
        <v>84.283134459999999</v>
      </c>
      <c r="C42" s="25">
        <v>83.901123049999995</v>
      </c>
      <c r="D42" s="25">
        <v>87.185661319999994</v>
      </c>
      <c r="E42" s="25">
        <v>85.080116270000005</v>
      </c>
      <c r="F42" s="25">
        <v>6.323730469</v>
      </c>
      <c r="G42" s="25">
        <v>6.1097006800000004</v>
      </c>
      <c r="H42" s="25">
        <v>23991</v>
      </c>
      <c r="I42" s="25">
        <v>24806.347659999999</v>
      </c>
      <c r="J42" s="25">
        <v>193.65367130000001</v>
      </c>
      <c r="K42" s="25">
        <v>99.765602110000003</v>
      </c>
      <c r="L42" s="25">
        <v>14.56400013</v>
      </c>
      <c r="M42" s="25">
        <v>0.411000013</v>
      </c>
      <c r="N42" s="25">
        <v>29.06100082</v>
      </c>
      <c r="O42" s="25">
        <v>1.0620000359999999</v>
      </c>
      <c r="P42" s="25">
        <v>84.015701289999996</v>
      </c>
      <c r="Q42" s="25">
        <v>83.534149170000006</v>
      </c>
      <c r="R42" s="61">
        <f t="shared" si="0"/>
        <v>197.72541872915178</v>
      </c>
      <c r="S42" s="61">
        <f t="shared" si="1"/>
        <v>185.44274029552125</v>
      </c>
      <c r="T42" s="25">
        <v>11.22147717</v>
      </c>
      <c r="U42" s="25">
        <v>14.38301815</v>
      </c>
      <c r="V42" s="25">
        <v>97.255425650000006</v>
      </c>
      <c r="W42" s="25">
        <v>95.864156640000004</v>
      </c>
      <c r="X42" s="25">
        <v>25.604495310000001</v>
      </c>
      <c r="Y42" s="25">
        <v>96.474454719999997</v>
      </c>
    </row>
    <row r="43" spans="1:25" s="25" customFormat="1" x14ac:dyDescent="0.2">
      <c r="A43" s="25">
        <v>211.09405520000001</v>
      </c>
      <c r="B43" s="25">
        <v>84.357261660000006</v>
      </c>
      <c r="C43" s="25">
        <v>84.362731929999995</v>
      </c>
      <c r="D43" s="25">
        <v>87.240608219999999</v>
      </c>
      <c r="E43" s="25">
        <v>85.226448059999996</v>
      </c>
      <c r="F43" s="25">
        <v>6.416015625</v>
      </c>
      <c r="G43" s="25">
        <v>5.3845214840000004</v>
      </c>
      <c r="H43" s="25">
        <v>24172.908200000002</v>
      </c>
      <c r="I43" s="25">
        <v>24940.753909999999</v>
      </c>
      <c r="J43" s="25">
        <v>193.86053469999999</v>
      </c>
      <c r="K43" s="25">
        <v>99.75800323</v>
      </c>
      <c r="L43" s="25">
        <v>14.38300037</v>
      </c>
      <c r="M43" s="25">
        <v>0.40999999599999998</v>
      </c>
      <c r="N43" s="25">
        <v>28.913000109999999</v>
      </c>
      <c r="O43" s="25">
        <v>1.041000009</v>
      </c>
      <c r="P43" s="25">
        <v>84.09592438</v>
      </c>
      <c r="Q43" s="25">
        <v>83.833541870000005</v>
      </c>
      <c r="R43" s="61">
        <f t="shared" si="0"/>
        <v>202.34705180847843</v>
      </c>
      <c r="S43" s="61">
        <f t="shared" si="1"/>
        <v>184.63497012775031</v>
      </c>
      <c r="T43" s="25">
        <v>11.10799443</v>
      </c>
      <c r="U43" s="25">
        <v>13.711874910000001</v>
      </c>
      <c r="V43" s="25">
        <v>97.228418939999997</v>
      </c>
      <c r="W43" s="25">
        <v>95.953713669999999</v>
      </c>
      <c r="X43" s="25">
        <v>24.81986934</v>
      </c>
      <c r="Y43" s="25">
        <v>96.524671150000003</v>
      </c>
    </row>
    <row r="44" spans="1:25" s="25" customFormat="1" x14ac:dyDescent="0.2">
      <c r="A44" s="25">
        <v>214.5753479</v>
      </c>
      <c r="B44" s="25">
        <v>83.948852540000004</v>
      </c>
      <c r="C44" s="25">
        <v>84.09809113</v>
      </c>
      <c r="D44" s="25">
        <v>87.268066410000003</v>
      </c>
      <c r="E44" s="25">
        <v>85.125732420000006</v>
      </c>
      <c r="F44" s="25">
        <v>6.5948486329999998</v>
      </c>
      <c r="G44" s="25">
        <v>5.7342529300000002</v>
      </c>
      <c r="H44" s="25">
        <v>24005.515630000002</v>
      </c>
      <c r="I44" s="25">
        <v>24862.332030000001</v>
      </c>
      <c r="J44" s="25">
        <v>194.5623932</v>
      </c>
      <c r="K44" s="25">
        <v>99.756301879999995</v>
      </c>
      <c r="L44" s="25">
        <v>14.26799965</v>
      </c>
      <c r="M44" s="25">
        <v>0.398999989</v>
      </c>
      <c r="N44" s="25">
        <v>28.66200066</v>
      </c>
      <c r="O44" s="25">
        <v>1.0219999550000001</v>
      </c>
      <c r="P44" s="25">
        <v>83.366500849999994</v>
      </c>
      <c r="Q44" s="25">
        <v>83.621177669999994</v>
      </c>
      <c r="R44" s="61">
        <f t="shared" si="0"/>
        <v>195.08393738448422</v>
      </c>
      <c r="S44" s="61">
        <f t="shared" si="1"/>
        <v>179.12156243330142</v>
      </c>
      <c r="T44" s="25">
        <v>10.44534634</v>
      </c>
      <c r="U44" s="25">
        <v>13.02870901</v>
      </c>
      <c r="V44" s="25">
        <v>97.279607290000001</v>
      </c>
      <c r="W44" s="25">
        <v>95.976911599999994</v>
      </c>
      <c r="X44" s="25">
        <v>23.47405534</v>
      </c>
      <c r="Y44" s="25">
        <v>96.557068000000001</v>
      </c>
    </row>
    <row r="45" spans="1:25" s="25" customFormat="1" x14ac:dyDescent="0.2">
      <c r="A45" s="25">
        <v>210.7150269</v>
      </c>
      <c r="B45" s="25">
        <v>84.317573550000006</v>
      </c>
      <c r="C45" s="25">
        <v>83.782066349999994</v>
      </c>
      <c r="D45" s="25">
        <v>87.295524599999993</v>
      </c>
      <c r="E45" s="25">
        <v>85.391227720000003</v>
      </c>
      <c r="F45" s="25">
        <v>6.3214111329999998</v>
      </c>
      <c r="G45" s="25">
        <v>5.5560302730000002</v>
      </c>
      <c r="H45" s="25">
        <v>23950.728520000001</v>
      </c>
      <c r="I45" s="25">
        <v>24977.900389999999</v>
      </c>
      <c r="J45" s="25">
        <v>194.39503479999999</v>
      </c>
      <c r="K45" s="25">
        <v>99.739799500000004</v>
      </c>
      <c r="L45" s="25">
        <v>14.81200027</v>
      </c>
      <c r="M45" s="25">
        <v>0.435000002</v>
      </c>
      <c r="N45" s="25">
        <v>29.221000669999999</v>
      </c>
      <c r="O45" s="25">
        <v>1.0659999849999999</v>
      </c>
      <c r="P45" s="25">
        <v>83.772178650000001</v>
      </c>
      <c r="Q45" s="25">
        <v>83.455146790000001</v>
      </c>
      <c r="R45" s="61">
        <f t="shared" si="0"/>
        <v>192.46056645708688</v>
      </c>
      <c r="S45" s="61">
        <f t="shared" si="1"/>
        <v>181.51851295413996</v>
      </c>
      <c r="T45" s="25">
        <v>10.912137939999999</v>
      </c>
      <c r="U45" s="25">
        <v>13.81023647</v>
      </c>
      <c r="V45" s="25">
        <v>97.146979770000002</v>
      </c>
      <c r="W45" s="25">
        <v>95.952855760000006</v>
      </c>
      <c r="X45" s="25">
        <v>24.72237441</v>
      </c>
      <c r="Y45" s="25">
        <v>96.480338230000001</v>
      </c>
    </row>
    <row r="46" spans="1:25" s="25" customFormat="1" x14ac:dyDescent="0.2">
      <c r="A46" s="25">
        <v>209.5579529</v>
      </c>
      <c r="B46" s="25">
        <v>84.195388789999996</v>
      </c>
      <c r="C46" s="25">
        <v>84.076278689999995</v>
      </c>
      <c r="D46" s="25">
        <v>87.295524599999993</v>
      </c>
      <c r="E46" s="25">
        <v>85.391075130000004</v>
      </c>
      <c r="F46" s="25">
        <v>6.4338378909999996</v>
      </c>
      <c r="G46" s="25">
        <v>5.4152932170000003</v>
      </c>
      <c r="H46" s="25">
        <v>23960.339840000001</v>
      </c>
      <c r="I46" s="25">
        <v>24992.480469999999</v>
      </c>
      <c r="J46" s="25">
        <v>194.18984990000001</v>
      </c>
      <c r="K46" s="25">
        <v>99.749603269999994</v>
      </c>
      <c r="L46" s="25">
        <v>14.59899998</v>
      </c>
      <c r="M46" s="25">
        <v>0.41899999999999998</v>
      </c>
      <c r="N46" s="25">
        <v>28.649000170000001</v>
      </c>
      <c r="O46" s="25">
        <v>1.0509999990000001</v>
      </c>
      <c r="P46" s="25">
        <v>84.031349180000007</v>
      </c>
      <c r="Q46" s="25">
        <v>84.102386469999999</v>
      </c>
      <c r="R46" s="61">
        <f t="shared" si="0"/>
        <v>204.06751913940624</v>
      </c>
      <c r="S46" s="61">
        <f t="shared" si="1"/>
        <v>204.94135099456724</v>
      </c>
      <c r="T46" s="25">
        <v>11.457405290000001</v>
      </c>
      <c r="U46" s="25">
        <v>16.063162770000002</v>
      </c>
      <c r="V46" s="25">
        <v>97.210014650000005</v>
      </c>
      <c r="W46" s="25">
        <v>95.926424740000002</v>
      </c>
      <c r="X46" s="25">
        <v>27.520568059999999</v>
      </c>
      <c r="Y46" s="25">
        <v>96.461279480000002</v>
      </c>
    </row>
    <row r="47" spans="1:25" s="25" customFormat="1" x14ac:dyDescent="0.2">
      <c r="A47" s="25">
        <v>207.30892940000001</v>
      </c>
      <c r="B47" s="25">
        <v>84.163558960000003</v>
      </c>
      <c r="C47" s="25">
        <v>83.759735109999994</v>
      </c>
      <c r="D47" s="25">
        <v>87.050949099999997</v>
      </c>
      <c r="E47" s="25">
        <v>85.10359192</v>
      </c>
      <c r="F47" s="25">
        <v>6.5482873919999998</v>
      </c>
      <c r="G47" s="25">
        <v>5.6486353869999997</v>
      </c>
      <c r="H47" s="25">
        <v>23956.066409999999</v>
      </c>
      <c r="I47" s="25">
        <v>24893.193360000001</v>
      </c>
      <c r="J47" s="25">
        <v>193.6101074</v>
      </c>
      <c r="K47" s="25">
        <v>99.746902469999995</v>
      </c>
      <c r="L47" s="25">
        <v>14.164999959999999</v>
      </c>
      <c r="M47" s="25">
        <v>0.409000009</v>
      </c>
      <c r="N47" s="25">
        <v>28.582000730000001</v>
      </c>
      <c r="O47" s="25">
        <v>1.0529999729999999</v>
      </c>
      <c r="P47" s="25">
        <v>84.172103879999995</v>
      </c>
      <c r="Q47" s="25">
        <v>83.767288210000004</v>
      </c>
      <c r="R47" s="61">
        <f t="shared" si="0"/>
        <v>207.59492933165998</v>
      </c>
      <c r="S47" s="61">
        <f t="shared" si="1"/>
        <v>207.84773287854233</v>
      </c>
      <c r="T47" s="25">
        <v>11.434101099999999</v>
      </c>
      <c r="U47" s="25">
        <v>16.719039710000001</v>
      </c>
      <c r="V47" s="25">
        <v>97.193632429999994</v>
      </c>
      <c r="W47" s="25">
        <v>95.93523888</v>
      </c>
      <c r="X47" s="25">
        <v>28.15314081</v>
      </c>
      <c r="Y47" s="25">
        <v>96.446769200000006</v>
      </c>
    </row>
    <row r="48" spans="1:25" s="25" customFormat="1" x14ac:dyDescent="0.2">
      <c r="A48" s="25">
        <v>211.6667175</v>
      </c>
      <c r="B48" s="25">
        <v>84.103614809999996</v>
      </c>
      <c r="C48" s="25">
        <v>84.137916559999994</v>
      </c>
      <c r="D48" s="25">
        <v>87.213134769999996</v>
      </c>
      <c r="E48" s="25">
        <v>85.290527339999997</v>
      </c>
      <c r="F48" s="25">
        <v>6.486816406</v>
      </c>
      <c r="G48" s="25">
        <v>5.5078125</v>
      </c>
      <c r="H48" s="25">
        <v>23966.578130000002</v>
      </c>
      <c r="I48" s="25">
        <v>24860.304690000001</v>
      </c>
      <c r="J48" s="25">
        <v>193.25189209999999</v>
      </c>
      <c r="K48" s="25">
        <v>99.742401119999997</v>
      </c>
      <c r="L48" s="25">
        <v>14.51799965</v>
      </c>
      <c r="M48" s="25">
        <v>0.37000000500000002</v>
      </c>
      <c r="N48" s="25">
        <v>28.555999759999999</v>
      </c>
      <c r="O48" s="25">
        <v>1.047999978</v>
      </c>
      <c r="P48" s="25">
        <v>84.123703000000006</v>
      </c>
      <c r="Q48" s="25">
        <v>84.068222050000003</v>
      </c>
      <c r="R48" s="61">
        <f t="shared" si="0"/>
        <v>212.33907264986462</v>
      </c>
      <c r="S48" s="61">
        <f t="shared" si="1"/>
        <v>210.00638549807235</v>
      </c>
      <c r="T48" s="25">
        <v>11.69753745</v>
      </c>
      <c r="U48" s="25">
        <v>16.134041849999999</v>
      </c>
      <c r="V48" s="25">
        <v>97.514776909999995</v>
      </c>
      <c r="W48" s="25">
        <v>95.693524330000002</v>
      </c>
      <c r="X48" s="25">
        <v>27.831579300000001</v>
      </c>
      <c r="Y48" s="25">
        <v>96.459937890000006</v>
      </c>
    </row>
    <row r="49" spans="1:25" s="25" customFormat="1" x14ac:dyDescent="0.2">
      <c r="A49" s="25">
        <v>211.86447140000001</v>
      </c>
      <c r="B49" s="25">
        <v>83.975845340000006</v>
      </c>
      <c r="C49" s="25">
        <v>83.875869750000007</v>
      </c>
      <c r="D49" s="25">
        <v>87.240608219999999</v>
      </c>
      <c r="E49" s="25">
        <v>85.226448059999996</v>
      </c>
      <c r="F49" s="25">
        <v>6.4953613280000004</v>
      </c>
      <c r="G49" s="25">
        <v>5.7769775389999998</v>
      </c>
      <c r="H49" s="25">
        <v>23920.941409999999</v>
      </c>
      <c r="I49" s="25">
        <v>24850.234380000002</v>
      </c>
      <c r="J49" s="25">
        <v>195.132431</v>
      </c>
      <c r="K49" s="25">
        <v>99.742797850000002</v>
      </c>
      <c r="L49" s="25">
        <v>14.333999629999999</v>
      </c>
      <c r="M49" s="25">
        <v>0.405000001</v>
      </c>
      <c r="N49" s="25">
        <v>28.655000690000001</v>
      </c>
      <c r="O49" s="25">
        <v>1.0379999879999999</v>
      </c>
      <c r="P49" s="25">
        <v>83.503364559999994</v>
      </c>
      <c r="Q49" s="25">
        <v>83.682128910000003</v>
      </c>
      <c r="R49" s="61">
        <f t="shared" si="0"/>
        <v>196.05045900540873</v>
      </c>
      <c r="S49" s="61">
        <f t="shared" si="1"/>
        <v>189.56592000448151</v>
      </c>
      <c r="T49" s="25">
        <v>10.685389470000001</v>
      </c>
      <c r="U49" s="25">
        <v>14.487873690000001</v>
      </c>
      <c r="V49" s="25">
        <v>97.252188000000004</v>
      </c>
      <c r="W49" s="25">
        <v>95.951734909999999</v>
      </c>
      <c r="X49" s="25">
        <v>25.173263160000001</v>
      </c>
      <c r="Y49" s="25">
        <v>96.504226709999998</v>
      </c>
    </row>
    <row r="50" spans="1:25" s="25" customFormat="1" x14ac:dyDescent="0.2">
      <c r="A50" s="25">
        <v>211.18345640000001</v>
      </c>
      <c r="B50" s="25">
        <v>83.710662839999998</v>
      </c>
      <c r="C50" s="25">
        <v>83.816040040000004</v>
      </c>
      <c r="D50" s="25">
        <v>87.387245179999994</v>
      </c>
      <c r="E50" s="25">
        <v>85.171653750000004</v>
      </c>
      <c r="F50" s="25">
        <v>6.4221191409999996</v>
      </c>
      <c r="G50" s="25">
        <v>5.719268799</v>
      </c>
      <c r="H50" s="25">
        <v>24006.927729999999</v>
      </c>
      <c r="I50" s="25">
        <v>24858.984380000002</v>
      </c>
      <c r="J50" s="25">
        <v>194.3409729</v>
      </c>
      <c r="K50" s="25">
        <v>99.735099790000007</v>
      </c>
      <c r="L50" s="25">
        <v>14.291999819999999</v>
      </c>
      <c r="M50" s="25">
        <v>0.414000005</v>
      </c>
      <c r="N50" s="25">
        <v>28.586999890000001</v>
      </c>
      <c r="O50" s="25">
        <v>1.0470000509999999</v>
      </c>
      <c r="P50" s="25">
        <v>83.35749817</v>
      </c>
      <c r="Q50" s="25">
        <v>83.648361210000004</v>
      </c>
      <c r="R50" s="61">
        <f t="shared" si="0"/>
        <v>199.36297458333951</v>
      </c>
      <c r="S50" s="61">
        <f t="shared" si="1"/>
        <v>193.75073550785692</v>
      </c>
      <c r="T50" s="25">
        <v>10.87826342</v>
      </c>
      <c r="U50" s="25">
        <v>14.885513619999999</v>
      </c>
      <c r="V50" s="25">
        <v>97.184822460000007</v>
      </c>
      <c r="W50" s="25">
        <v>95.941474650000004</v>
      </c>
      <c r="X50" s="25">
        <v>25.76377703</v>
      </c>
      <c r="Y50" s="25">
        <v>96.466895960000002</v>
      </c>
    </row>
    <row r="51" spans="1:25" s="25" customFormat="1" x14ac:dyDescent="0.2">
      <c r="A51" s="25">
        <v>212.71385190000001</v>
      </c>
      <c r="B51" s="25">
        <v>83.899253849999994</v>
      </c>
      <c r="C51" s="25">
        <v>84.030860899999993</v>
      </c>
      <c r="D51" s="25">
        <v>87.277076719999997</v>
      </c>
      <c r="E51" s="25">
        <v>85.116432189999998</v>
      </c>
      <c r="F51" s="25">
        <v>6.6363930699999996</v>
      </c>
      <c r="G51" s="25">
        <v>5.7474265100000004</v>
      </c>
      <c r="H51" s="25">
        <v>23977.58008</v>
      </c>
      <c r="I51" s="25">
        <v>24931.029299999998</v>
      </c>
      <c r="J51" s="25">
        <v>194.47059630000001</v>
      </c>
      <c r="K51" s="25">
        <v>99.739097599999994</v>
      </c>
      <c r="L51" s="25">
        <v>14.20199966</v>
      </c>
      <c r="M51" s="25">
        <v>0.409000009</v>
      </c>
      <c r="N51" s="25">
        <v>28.650999070000001</v>
      </c>
      <c r="O51" s="25">
        <v>1.049000025</v>
      </c>
      <c r="P51" s="25">
        <v>83.594093319999999</v>
      </c>
      <c r="Q51" s="25">
        <v>83.578788759999995</v>
      </c>
      <c r="R51" s="61">
        <f t="shared" si="0"/>
        <v>202.50007684705534</v>
      </c>
      <c r="S51" s="61">
        <f t="shared" si="1"/>
        <v>187.36914511855372</v>
      </c>
      <c r="T51" s="25">
        <v>10.89843784</v>
      </c>
      <c r="U51" s="25">
        <v>13.89156373</v>
      </c>
      <c r="V51" s="25">
        <v>97.200739040000002</v>
      </c>
      <c r="W51" s="25">
        <v>95.892282280000003</v>
      </c>
      <c r="X51" s="25">
        <v>24.790001570000001</v>
      </c>
      <c r="Y51" s="25">
        <v>96.468013279999994</v>
      </c>
    </row>
    <row r="52" spans="1:25" s="25" customFormat="1" x14ac:dyDescent="0.2">
      <c r="A52" s="25">
        <v>210.30187989999999</v>
      </c>
      <c r="B52" s="25">
        <v>84.054466250000004</v>
      </c>
      <c r="C52" s="25">
        <v>83.982879639999993</v>
      </c>
      <c r="D52" s="25">
        <v>87.313697809999994</v>
      </c>
      <c r="E52" s="25">
        <v>85.418701170000006</v>
      </c>
      <c r="F52" s="25">
        <v>6.332112789</v>
      </c>
      <c r="G52" s="25">
        <v>5.4695534710000002</v>
      </c>
      <c r="H52" s="25">
        <v>23965.36133</v>
      </c>
      <c r="I52" s="25">
        <v>24935.353520000001</v>
      </c>
      <c r="J52" s="25">
        <v>196.29449460000001</v>
      </c>
      <c r="K52" s="25">
        <v>99.747497559999999</v>
      </c>
      <c r="L52" s="25">
        <v>14.39099979</v>
      </c>
      <c r="M52" s="25">
        <v>0.41199999999999998</v>
      </c>
      <c r="N52" s="25">
        <v>29.222999569999999</v>
      </c>
      <c r="O52" s="25">
        <v>1.065000057</v>
      </c>
      <c r="P52" s="25">
        <v>83.747741700000006</v>
      </c>
      <c r="Q52" s="25">
        <v>83.667709349999996</v>
      </c>
      <c r="R52" s="61">
        <f t="shared" si="0"/>
        <v>200.03575683055939</v>
      </c>
      <c r="S52" s="61">
        <f t="shared" si="1"/>
        <v>189.48695340099607</v>
      </c>
      <c r="T52" s="25">
        <v>11.03124113</v>
      </c>
      <c r="U52" s="25">
        <v>14.825869259999999</v>
      </c>
      <c r="V52" s="25">
        <v>97.21678034</v>
      </c>
      <c r="W52" s="25">
        <v>95.937528929999999</v>
      </c>
      <c r="X52" s="25">
        <v>25.857110389999999</v>
      </c>
      <c r="Y52" s="25">
        <v>96.483755709999997</v>
      </c>
    </row>
    <row r="53" spans="1:25" s="25" customFormat="1" x14ac:dyDescent="0.2">
      <c r="A53" s="25">
        <v>209.58206179999999</v>
      </c>
      <c r="B53" s="25">
        <v>84.007301330000004</v>
      </c>
      <c r="C53" s="25">
        <v>84.028717040000004</v>
      </c>
      <c r="D53" s="25">
        <v>87.240608219999999</v>
      </c>
      <c r="E53" s="25">
        <v>85.299690249999998</v>
      </c>
      <c r="F53" s="25">
        <v>6.350097656</v>
      </c>
      <c r="G53" s="25">
        <v>5.434570313</v>
      </c>
      <c r="H53" s="25">
        <v>23933.48633</v>
      </c>
      <c r="I53" s="25">
        <v>24912.613280000001</v>
      </c>
      <c r="J53" s="25">
        <v>194.30850219999999</v>
      </c>
      <c r="K53" s="25">
        <v>99.752998349999999</v>
      </c>
      <c r="L53" s="25">
        <v>14.22900009</v>
      </c>
      <c r="M53" s="25">
        <v>0.41699999599999998</v>
      </c>
      <c r="N53" s="25">
        <v>28.884000780000001</v>
      </c>
      <c r="O53" s="25">
        <v>1.0429999830000001</v>
      </c>
      <c r="P53" s="25">
        <v>83.435455320000003</v>
      </c>
      <c r="Q53" s="25">
        <v>83.863014219999997</v>
      </c>
      <c r="R53" s="61">
        <f t="shared" si="0"/>
        <v>190.44227818819388</v>
      </c>
      <c r="S53" s="61">
        <f t="shared" si="1"/>
        <v>184.89617650486451</v>
      </c>
      <c r="T53" s="25">
        <v>10.42670408</v>
      </c>
      <c r="U53" s="25">
        <v>14.586567730000001</v>
      </c>
      <c r="V53" s="25">
        <v>97.152806269999999</v>
      </c>
      <c r="W53" s="25">
        <v>96.058249500000002</v>
      </c>
      <c r="X53" s="25">
        <v>25.013271809999999</v>
      </c>
      <c r="Y53" s="25">
        <v>96.514852950000005</v>
      </c>
    </row>
    <row r="54" spans="1:25" s="25" customFormat="1" x14ac:dyDescent="0.2">
      <c r="A54" s="25">
        <v>212.91415409999999</v>
      </c>
      <c r="B54" s="25">
        <v>84.226745609999995</v>
      </c>
      <c r="C54" s="25">
        <v>84.319854739999997</v>
      </c>
      <c r="D54" s="25">
        <v>87.231597899999997</v>
      </c>
      <c r="E54" s="25">
        <v>85.327301030000001</v>
      </c>
      <c r="F54" s="25">
        <v>6.2628989219999998</v>
      </c>
      <c r="G54" s="25">
        <v>5.4589743610000001</v>
      </c>
      <c r="H54" s="25">
        <v>24106.902340000001</v>
      </c>
      <c r="I54" s="25">
        <v>24843.328130000002</v>
      </c>
      <c r="J54" s="25">
        <v>195.06182860000001</v>
      </c>
      <c r="K54" s="25">
        <v>99.759002690000003</v>
      </c>
      <c r="L54" s="25">
        <v>14.182000159999999</v>
      </c>
      <c r="M54" s="25">
        <v>0.402999997</v>
      </c>
      <c r="N54" s="25">
        <v>28.721000669999999</v>
      </c>
      <c r="O54" s="25">
        <v>1.036000013</v>
      </c>
      <c r="P54" s="25">
        <v>83.911872860000003</v>
      </c>
      <c r="Q54" s="25">
        <v>84.002281190000005</v>
      </c>
      <c r="R54" s="61">
        <f t="shared" si="0"/>
        <v>202.37530938504929</v>
      </c>
      <c r="S54" s="61">
        <f t="shared" si="1"/>
        <v>191.74606843286898</v>
      </c>
      <c r="T54" s="25">
        <v>10.85948625</v>
      </c>
      <c r="U54" s="25">
        <v>14.527818679999999</v>
      </c>
      <c r="V54" s="25">
        <v>97.236887260000003</v>
      </c>
      <c r="W54" s="25">
        <v>95.980659329999995</v>
      </c>
      <c r="X54" s="25">
        <v>25.387304929999999</v>
      </c>
      <c r="Y54" s="25">
        <v>96.518466279999998</v>
      </c>
    </row>
    <row r="55" spans="1:25" s="25" customFormat="1" x14ac:dyDescent="0.2">
      <c r="A55" s="25">
        <v>210.43981930000001</v>
      </c>
      <c r="B55" s="25">
        <v>84.073959349999996</v>
      </c>
      <c r="C55" s="25">
        <v>83.931297299999997</v>
      </c>
      <c r="D55" s="25">
        <v>87.130744930000006</v>
      </c>
      <c r="E55" s="25">
        <v>85.427848819999994</v>
      </c>
      <c r="F55" s="25">
        <v>6.3845925330000002</v>
      </c>
      <c r="G55" s="25">
        <v>5.4432983400000001</v>
      </c>
      <c r="H55" s="25">
        <v>23969.015630000002</v>
      </c>
      <c r="I55" s="25">
        <v>24938.29883</v>
      </c>
      <c r="J55" s="25">
        <v>194.2655029</v>
      </c>
      <c r="K55" s="25">
        <v>99.753799439999995</v>
      </c>
      <c r="L55" s="25">
        <v>14.248999599999999</v>
      </c>
      <c r="M55" s="25">
        <v>0.40000000600000002</v>
      </c>
      <c r="N55" s="25">
        <v>28.722999569999999</v>
      </c>
      <c r="O55" s="25">
        <v>1.031999946</v>
      </c>
      <c r="P55" s="25">
        <v>83.9375</v>
      </c>
      <c r="Q55" s="25">
        <v>83.771469120000006</v>
      </c>
      <c r="R55" s="61">
        <f t="shared" si="0"/>
        <v>205.87250155162991</v>
      </c>
      <c r="S55" s="61">
        <f t="shared" si="1"/>
        <v>200.52302507234378</v>
      </c>
      <c r="T55" s="25">
        <v>11.226240239999999</v>
      </c>
      <c r="U55" s="25">
        <v>15.634484280000001</v>
      </c>
      <c r="V55" s="25">
        <v>97.269438070000007</v>
      </c>
      <c r="W55" s="25">
        <v>96.001142860000002</v>
      </c>
      <c r="X55" s="25">
        <v>26.860724520000002</v>
      </c>
      <c r="Y55" s="25">
        <v>96.531675480000004</v>
      </c>
    </row>
    <row r="56" spans="1:25" s="25" customFormat="1" x14ac:dyDescent="0.2">
      <c r="A56" s="25">
        <v>212.72552490000001</v>
      </c>
      <c r="B56" s="25">
        <v>84.483856200000005</v>
      </c>
      <c r="C56" s="25">
        <v>84.254829409999999</v>
      </c>
      <c r="D56" s="25">
        <v>87.094123839999995</v>
      </c>
      <c r="E56" s="25">
        <v>85.372932430000006</v>
      </c>
      <c r="F56" s="25">
        <v>6.540527344</v>
      </c>
      <c r="G56" s="25">
        <v>5.5535888670000002</v>
      </c>
      <c r="H56" s="25">
        <v>23961.314450000002</v>
      </c>
      <c r="I56" s="25">
        <v>24859.615229999999</v>
      </c>
      <c r="J56" s="25">
        <v>194.17674260000001</v>
      </c>
      <c r="K56" s="25">
        <v>99.761901859999995</v>
      </c>
      <c r="L56" s="25">
        <v>14.25399971</v>
      </c>
      <c r="M56" s="25">
        <v>0.42100000399999998</v>
      </c>
      <c r="N56" s="25">
        <v>28.86300087</v>
      </c>
      <c r="O56" s="25">
        <v>1.0149999860000001</v>
      </c>
      <c r="P56" s="25">
        <v>84.245101930000004</v>
      </c>
      <c r="Q56" s="25">
        <v>84.043601989999999</v>
      </c>
      <c r="R56" s="61">
        <f t="shared" si="0"/>
        <v>204.73437870979623</v>
      </c>
      <c r="S56" s="61">
        <f t="shared" si="1"/>
        <v>197.66456088999527</v>
      </c>
      <c r="T56" s="25">
        <v>11.064715919999999</v>
      </c>
      <c r="U56" s="25">
        <v>15.23255867</v>
      </c>
      <c r="V56" s="25">
        <v>97.131175389999996</v>
      </c>
      <c r="W56" s="25">
        <v>96.218674789999994</v>
      </c>
      <c r="X56" s="25">
        <v>26.297274600000001</v>
      </c>
      <c r="Y56" s="25">
        <v>96.602851740000006</v>
      </c>
    </row>
    <row r="57" spans="1:25" s="25" customFormat="1" x14ac:dyDescent="0.2">
      <c r="A57" s="25">
        <v>213.7633209</v>
      </c>
      <c r="B57" s="25">
        <v>83.711845400000001</v>
      </c>
      <c r="C57" s="25">
        <v>83.982032779999997</v>
      </c>
      <c r="D57" s="25">
        <v>87.075492859999997</v>
      </c>
      <c r="E57" s="25">
        <v>85.015869140000007</v>
      </c>
      <c r="F57" s="25">
        <v>6.3918051719999998</v>
      </c>
      <c r="G57" s="25">
        <v>5.6976623540000002</v>
      </c>
      <c r="H57" s="25">
        <v>23853.488280000001</v>
      </c>
      <c r="I57" s="25">
        <v>24668.052729999999</v>
      </c>
      <c r="J57" s="25">
        <v>192.94718929999999</v>
      </c>
      <c r="K57" s="25">
        <v>99.757598880000003</v>
      </c>
      <c r="L57" s="25">
        <v>14.11699963</v>
      </c>
      <c r="M57" s="25">
        <v>0.40999999599999998</v>
      </c>
      <c r="N57" s="25">
        <v>28.73399925</v>
      </c>
      <c r="O57" s="25">
        <v>1.047999978</v>
      </c>
      <c r="P57" s="25">
        <v>84.118331909999995</v>
      </c>
      <c r="Q57" s="25">
        <v>83.559768680000005</v>
      </c>
      <c r="R57" s="61">
        <f t="shared" si="0"/>
        <v>227.36849380750724</v>
      </c>
      <c r="S57" s="61">
        <f t="shared" si="1"/>
        <v>213.23524226827925</v>
      </c>
      <c r="T57" s="25">
        <v>12.1048414</v>
      </c>
      <c r="U57" s="25">
        <v>16.04074215</v>
      </c>
      <c r="V57" s="25">
        <v>97.177669120000004</v>
      </c>
      <c r="W57" s="25">
        <v>95.954687329999999</v>
      </c>
      <c r="X57" s="25">
        <v>28.145583550000001</v>
      </c>
      <c r="Y57" s="25">
        <v>96.481095949999997</v>
      </c>
    </row>
    <row r="58" spans="1:25" s="25" customFormat="1" x14ac:dyDescent="0.2">
      <c r="A58" s="25">
        <v>208.8569641</v>
      </c>
      <c r="B58" s="25">
        <v>83.31732178</v>
      </c>
      <c r="C58" s="25">
        <v>83.108932499999995</v>
      </c>
      <c r="D58" s="25">
        <v>86.993408200000005</v>
      </c>
      <c r="E58" s="25">
        <v>85.052490230000004</v>
      </c>
      <c r="F58" s="25">
        <v>6.8371582030000004</v>
      </c>
      <c r="G58" s="25">
        <v>5.9387207030000004</v>
      </c>
      <c r="H58" s="25">
        <v>23771.208979999999</v>
      </c>
      <c r="I58" s="25">
        <v>24732.746090000001</v>
      </c>
      <c r="J58" s="25">
        <v>192.60298159999999</v>
      </c>
      <c r="K58" s="25">
        <v>99.736900329999997</v>
      </c>
      <c r="L58" s="25">
        <v>14.239000320000001</v>
      </c>
      <c r="M58" s="25">
        <v>0.398999989</v>
      </c>
      <c r="N58" s="25">
        <v>28.83799934</v>
      </c>
      <c r="O58" s="25">
        <v>1.0190000530000001</v>
      </c>
      <c r="P58" s="25">
        <v>82.892745969999993</v>
      </c>
      <c r="Q58" s="25">
        <v>83.017768860000004</v>
      </c>
      <c r="R58" s="61">
        <f t="shared" si="0"/>
        <v>194.64633923228882</v>
      </c>
      <c r="S58" s="61">
        <f t="shared" si="1"/>
        <v>191.59507663300198</v>
      </c>
      <c r="T58" s="25">
        <v>10.68823817</v>
      </c>
      <c r="U58" s="25">
        <v>15.262422519999999</v>
      </c>
      <c r="V58" s="25">
        <v>97.274217919999998</v>
      </c>
      <c r="W58" s="25">
        <v>96.105194130000001</v>
      </c>
      <c r="X58" s="25">
        <v>25.950660689999999</v>
      </c>
      <c r="Y58" s="25">
        <v>96.587064760000004</v>
      </c>
    </row>
    <row r="59" spans="1:25" s="25" customFormat="1" x14ac:dyDescent="0.2">
      <c r="A59" s="25">
        <v>210.43899540000001</v>
      </c>
      <c r="B59" s="25">
        <v>84.055290220000003</v>
      </c>
      <c r="C59" s="25">
        <v>83.828453060000001</v>
      </c>
      <c r="D59" s="25">
        <v>87.084960940000002</v>
      </c>
      <c r="E59" s="25">
        <v>84.924316410000003</v>
      </c>
      <c r="F59" s="25">
        <v>6.38671875</v>
      </c>
      <c r="G59" s="25">
        <v>5.8245849610000002</v>
      </c>
      <c r="H59" s="25">
        <v>23510.20117</v>
      </c>
      <c r="I59" s="25">
        <v>24706.818360000001</v>
      </c>
      <c r="J59" s="25">
        <v>192.68432619999999</v>
      </c>
      <c r="K59" s="25">
        <v>99.748397830000002</v>
      </c>
      <c r="L59" s="25">
        <v>14.09399986</v>
      </c>
      <c r="M59" s="25">
        <v>0.36700001399999999</v>
      </c>
      <c r="N59" s="25">
        <v>28.607999800000002</v>
      </c>
      <c r="O59" s="25">
        <v>1.0260000229999999</v>
      </c>
      <c r="P59" s="25">
        <v>83.974449160000006</v>
      </c>
      <c r="Q59" s="25">
        <v>83.775604250000001</v>
      </c>
      <c r="R59" s="61">
        <f t="shared" si="0"/>
        <v>207.73323131615342</v>
      </c>
      <c r="S59" s="61">
        <f t="shared" si="1"/>
        <v>205.9643726201883</v>
      </c>
      <c r="T59" s="25">
        <v>11.18045568</v>
      </c>
      <c r="U59" s="25">
        <v>16.298361180000001</v>
      </c>
      <c r="V59" s="25">
        <v>97.462139429999993</v>
      </c>
      <c r="W59" s="25">
        <v>95.902490520000001</v>
      </c>
      <c r="X59" s="25">
        <v>27.478816859999998</v>
      </c>
      <c r="Y59" s="25">
        <v>96.537760579999997</v>
      </c>
    </row>
    <row r="60" spans="1:25" s="25" customFormat="1" x14ac:dyDescent="0.2">
      <c r="A60" s="25">
        <v>206.41799929999999</v>
      </c>
      <c r="B60" s="25">
        <v>83.903778079999995</v>
      </c>
      <c r="C60" s="25">
        <v>83.993598939999998</v>
      </c>
      <c r="D60" s="25">
        <v>87.002555849999993</v>
      </c>
      <c r="E60" s="25">
        <v>85.272216799999995</v>
      </c>
      <c r="F60" s="25">
        <v>6.6351318360000002</v>
      </c>
      <c r="G60" s="25">
        <v>5.5078125</v>
      </c>
      <c r="H60" s="25">
        <v>23522.417969999999</v>
      </c>
      <c r="I60" s="25">
        <v>24654.023440000001</v>
      </c>
      <c r="J60" s="25">
        <v>194.04461670000001</v>
      </c>
      <c r="K60" s="25">
        <v>99.737098689999996</v>
      </c>
      <c r="L60" s="25">
        <v>14.050999640000001</v>
      </c>
      <c r="M60" s="25">
        <v>0.39300000699999998</v>
      </c>
      <c r="N60" s="25">
        <v>29.23399925</v>
      </c>
      <c r="O60" s="25">
        <v>1.0420000549999999</v>
      </c>
      <c r="P60" s="25">
        <v>83.669898989999993</v>
      </c>
      <c r="Q60" s="25">
        <v>83.908950809999993</v>
      </c>
      <c r="R60" s="61">
        <f t="shared" si="0"/>
        <v>198.59002621695592</v>
      </c>
      <c r="S60" s="61">
        <f t="shared" si="1"/>
        <v>195.756838850056</v>
      </c>
      <c r="T60" s="25">
        <v>10.887321760000001</v>
      </c>
      <c r="U60" s="25">
        <v>16.317662689999999</v>
      </c>
      <c r="V60" s="25">
        <v>97.279146940000004</v>
      </c>
      <c r="W60" s="25">
        <v>96.076715370000002</v>
      </c>
      <c r="X60" s="25">
        <v>27.204984450000001</v>
      </c>
      <c r="Y60" s="25">
        <v>96.55832977</v>
      </c>
    </row>
    <row r="61" spans="1:25" s="25" customFormat="1" x14ac:dyDescent="0.2">
      <c r="A61" s="25">
        <v>209.5120239</v>
      </c>
      <c r="B61" s="25">
        <v>83.844131469999994</v>
      </c>
      <c r="C61" s="25">
        <v>83.907585139999995</v>
      </c>
      <c r="D61" s="25">
        <v>86.993408200000005</v>
      </c>
      <c r="E61" s="25">
        <v>86.206054690000002</v>
      </c>
      <c r="F61" s="25">
        <v>6.6925048829999998</v>
      </c>
      <c r="G61" s="25">
        <v>4.956054688</v>
      </c>
      <c r="H61" s="25">
        <v>23646.099610000001</v>
      </c>
      <c r="I61" s="25">
        <v>24774.037110000001</v>
      </c>
      <c r="J61" s="25">
        <v>192.23115540000001</v>
      </c>
      <c r="K61" s="25">
        <v>99.74720001</v>
      </c>
      <c r="L61" s="25">
        <v>14.135000229999999</v>
      </c>
      <c r="M61" s="25">
        <v>0.37799999099999998</v>
      </c>
      <c r="N61" s="25">
        <v>29.294000629999999</v>
      </c>
      <c r="O61" s="25">
        <v>1.0880000590000001</v>
      </c>
      <c r="P61" s="25">
        <v>83.464569089999998</v>
      </c>
      <c r="Q61" s="25">
        <v>83.773887630000004</v>
      </c>
      <c r="R61" s="61">
        <f t="shared" si="0"/>
        <v>196.80800622156588</v>
      </c>
      <c r="S61" s="61">
        <f t="shared" si="1"/>
        <v>192.33312772964968</v>
      </c>
      <c r="T61" s="25">
        <v>10.67853285</v>
      </c>
      <c r="U61" s="25">
        <v>15.74975265</v>
      </c>
      <c r="V61" s="25">
        <v>97.395438670000004</v>
      </c>
      <c r="W61" s="25">
        <v>95.755576399999995</v>
      </c>
      <c r="X61" s="25">
        <v>26.428285500000001</v>
      </c>
      <c r="Y61" s="25">
        <v>96.418932150000003</v>
      </c>
    </row>
    <row r="62" spans="1:25" s="25" customFormat="1" x14ac:dyDescent="0.2">
      <c r="A62" s="25">
        <v>207.66006469999999</v>
      </c>
      <c r="B62" s="25">
        <v>84.578430179999998</v>
      </c>
      <c r="C62" s="25">
        <v>84.008995060000004</v>
      </c>
      <c r="D62" s="25">
        <v>87.103271480000004</v>
      </c>
      <c r="E62" s="25">
        <v>85.18967438</v>
      </c>
      <c r="F62" s="25">
        <v>6.5334677699999997</v>
      </c>
      <c r="G62" s="25">
        <v>5.7774453159999997</v>
      </c>
      <c r="H62" s="25">
        <v>23633.175780000001</v>
      </c>
      <c r="I62" s="25">
        <v>25015.123049999998</v>
      </c>
      <c r="J62" s="25">
        <v>192.64775090000001</v>
      </c>
      <c r="K62" s="25">
        <v>99.75530243</v>
      </c>
      <c r="L62" s="25">
        <v>14.18000031</v>
      </c>
      <c r="M62" s="25">
        <v>0.377000004</v>
      </c>
      <c r="N62" s="25">
        <v>28.82900047</v>
      </c>
      <c r="O62" s="25">
        <v>1.0369999409999999</v>
      </c>
      <c r="P62" s="25">
        <v>84.152374269999996</v>
      </c>
      <c r="Q62" s="25">
        <v>83.730575560000005</v>
      </c>
      <c r="R62" s="61">
        <f t="shared" si="0"/>
        <v>193.39990063252463</v>
      </c>
      <c r="S62" s="61">
        <f t="shared" si="1"/>
        <v>184.08115242038409</v>
      </c>
      <c r="T62" s="25">
        <v>10.61825017</v>
      </c>
      <c r="U62" s="25">
        <v>14.463062880000001</v>
      </c>
      <c r="V62" s="25">
        <v>97.410180699999998</v>
      </c>
      <c r="W62" s="25">
        <v>95.878868920000002</v>
      </c>
      <c r="X62" s="25">
        <v>25.081313049999999</v>
      </c>
      <c r="Y62" s="25">
        <v>96.527824530000004</v>
      </c>
    </row>
    <row r="63" spans="1:25" s="25" customFormat="1" x14ac:dyDescent="0.2">
      <c r="A63" s="25">
        <v>212.43301389999999</v>
      </c>
      <c r="B63" s="25">
        <v>84.285552980000006</v>
      </c>
      <c r="C63" s="25">
        <v>83.829032900000001</v>
      </c>
      <c r="D63" s="25">
        <v>87.030029299999995</v>
      </c>
      <c r="E63" s="25">
        <v>85.22675323</v>
      </c>
      <c r="F63" s="25">
        <v>6.7263283730000003</v>
      </c>
      <c r="G63" s="25">
        <v>6.0164284710000002</v>
      </c>
      <c r="H63" s="25">
        <v>23561.470700000002</v>
      </c>
      <c r="I63" s="25">
        <v>24988.96875</v>
      </c>
      <c r="J63" s="25">
        <v>194.07312010000001</v>
      </c>
      <c r="K63" s="25">
        <v>99.749000550000005</v>
      </c>
      <c r="L63" s="25">
        <v>14.088999749999999</v>
      </c>
      <c r="M63" s="25">
        <v>0.33000001299999998</v>
      </c>
      <c r="N63" s="25">
        <v>28.55200005</v>
      </c>
      <c r="O63" s="25">
        <v>1.0169999599999999</v>
      </c>
      <c r="P63" s="25">
        <v>83.596206670000001</v>
      </c>
      <c r="Q63" s="25">
        <v>83.355491639999997</v>
      </c>
      <c r="R63" s="61">
        <f t="shared" si="0"/>
        <v>189.36047518105875</v>
      </c>
      <c r="S63" s="61">
        <f t="shared" si="1"/>
        <v>173.51096833976405</v>
      </c>
      <c r="T63" s="25">
        <v>10.063624900000001</v>
      </c>
      <c r="U63" s="25">
        <v>12.81706982</v>
      </c>
      <c r="V63" s="25">
        <v>97.711352950000006</v>
      </c>
      <c r="W63" s="25">
        <v>95.654858820000001</v>
      </c>
      <c r="X63" s="25">
        <v>22.880694729999998</v>
      </c>
      <c r="Y63" s="25">
        <v>96.560587240000004</v>
      </c>
    </row>
    <row r="64" spans="1:25" s="25" customFormat="1" x14ac:dyDescent="0.2">
      <c r="A64" s="25">
        <v>210.8854523</v>
      </c>
      <c r="B64" s="25">
        <v>83.411476140000005</v>
      </c>
      <c r="C64" s="25">
        <v>83.464920039999996</v>
      </c>
      <c r="D64" s="25">
        <v>87.057502749999998</v>
      </c>
      <c r="E64" s="25">
        <v>84.814453130000004</v>
      </c>
      <c r="F64" s="25">
        <v>6.48871851</v>
      </c>
      <c r="G64" s="25">
        <v>6.2838234899999996</v>
      </c>
      <c r="H64" s="25">
        <v>23611.89258</v>
      </c>
      <c r="I64" s="25">
        <v>25059.802729999999</v>
      </c>
      <c r="J64" s="25">
        <v>192.763443</v>
      </c>
      <c r="K64" s="25">
        <v>99.747703549999997</v>
      </c>
      <c r="L64" s="25">
        <v>15.22399998</v>
      </c>
      <c r="M64" s="25">
        <v>0.45100000499999998</v>
      </c>
      <c r="N64" s="25">
        <v>28.85700035</v>
      </c>
      <c r="O64" s="25">
        <v>0.99299997100000004</v>
      </c>
      <c r="P64" s="25">
        <v>82.974098209999994</v>
      </c>
      <c r="Q64" s="25">
        <v>83.147262569999995</v>
      </c>
      <c r="R64" s="61">
        <f t="shared" si="0"/>
        <v>196.24633828960432</v>
      </c>
      <c r="S64" s="61">
        <f t="shared" si="1"/>
        <v>185.61428852069227</v>
      </c>
      <c r="T64" s="25">
        <v>11.42929799</v>
      </c>
      <c r="U64" s="25">
        <v>13.45842086</v>
      </c>
      <c r="V64" s="25">
        <v>97.122806979999993</v>
      </c>
      <c r="W64" s="25">
        <v>96.29131726</v>
      </c>
      <c r="X64" s="25">
        <v>24.887718849999999</v>
      </c>
      <c r="Y64" s="25">
        <v>96.673366970000004</v>
      </c>
    </row>
    <row r="65" spans="1:25" s="25" customFormat="1" x14ac:dyDescent="0.2">
      <c r="A65" s="25">
        <v>211.32051089999999</v>
      </c>
      <c r="B65" s="25">
        <v>83.241699220000001</v>
      </c>
      <c r="C65" s="25">
        <v>83.315368649999996</v>
      </c>
      <c r="D65" s="25">
        <v>86.975860600000004</v>
      </c>
      <c r="E65" s="25">
        <v>84.841911319999994</v>
      </c>
      <c r="F65" s="25">
        <v>7.0066528320000003</v>
      </c>
      <c r="G65" s="25">
        <v>6.3653869629999997</v>
      </c>
      <c r="H65" s="25">
        <v>23531.539059999999</v>
      </c>
      <c r="I65" s="25">
        <v>24839.316409999999</v>
      </c>
      <c r="J65" s="25">
        <v>193.131012</v>
      </c>
      <c r="K65" s="25">
        <v>99.755798339999998</v>
      </c>
      <c r="L65" s="25">
        <v>14.10400009</v>
      </c>
      <c r="M65" s="25">
        <v>0.381000012</v>
      </c>
      <c r="N65" s="25">
        <v>28.596000669999999</v>
      </c>
      <c r="O65" s="25">
        <v>1.0089999439999999</v>
      </c>
      <c r="P65" s="25">
        <v>82.713317869999997</v>
      </c>
      <c r="Q65" s="25">
        <v>83.135719300000005</v>
      </c>
      <c r="R65" s="61">
        <f t="shared" si="0"/>
        <v>193.63549688107901</v>
      </c>
      <c r="S65" s="61">
        <f t="shared" si="1"/>
        <v>187.62260245692897</v>
      </c>
      <c r="T65" s="25">
        <v>10.39580357</v>
      </c>
      <c r="U65" s="25">
        <v>14.50370459</v>
      </c>
      <c r="V65" s="25">
        <v>97.369692720000003</v>
      </c>
      <c r="W65" s="25">
        <v>96.033344470000003</v>
      </c>
      <c r="X65" s="25">
        <v>24.89950816</v>
      </c>
      <c r="Y65" s="25">
        <v>96.591792190000007</v>
      </c>
    </row>
    <row r="66" spans="1:25" s="25" customFormat="1" x14ac:dyDescent="0.2">
      <c r="A66" s="25">
        <v>206.44271850000001</v>
      </c>
      <c r="B66" s="25">
        <v>84.029411319999994</v>
      </c>
      <c r="C66" s="25">
        <v>83.817955019999999</v>
      </c>
      <c r="D66" s="25">
        <v>87.002555849999993</v>
      </c>
      <c r="E66" s="25">
        <v>84.988395690000004</v>
      </c>
      <c r="F66" s="25">
        <v>6.391601563</v>
      </c>
      <c r="G66" s="25">
        <v>5.9680175780000004</v>
      </c>
      <c r="H66" s="25">
        <v>23487.640630000002</v>
      </c>
      <c r="I66" s="25">
        <v>25043.136719999999</v>
      </c>
      <c r="J66" s="25">
        <v>192.73469539999999</v>
      </c>
      <c r="K66" s="25">
        <v>99.745597840000002</v>
      </c>
      <c r="L66" s="25">
        <v>15.352000240000001</v>
      </c>
      <c r="M66" s="25">
        <v>0.36100000100000001</v>
      </c>
      <c r="N66" s="25">
        <v>29.246000290000001</v>
      </c>
      <c r="O66" s="25">
        <v>1.021000028</v>
      </c>
      <c r="P66" s="25">
        <v>83.731369020000002</v>
      </c>
      <c r="Q66" s="25">
        <v>83.581062320000001</v>
      </c>
      <c r="R66" s="61">
        <f t="shared" si="0"/>
        <v>196.46719182077248</v>
      </c>
      <c r="S66" s="61">
        <f t="shared" si="1"/>
        <v>188.53835269637875</v>
      </c>
      <c r="T66" s="25">
        <v>11.70902867</v>
      </c>
      <c r="U66" s="25">
        <v>14.4775273</v>
      </c>
      <c r="V66" s="25">
        <v>97.70253932</v>
      </c>
      <c r="W66" s="25">
        <v>95.754584489999999</v>
      </c>
      <c r="X66" s="25">
        <v>26.18655596</v>
      </c>
      <c r="Y66" s="25">
        <v>96.626689080000006</v>
      </c>
    </row>
    <row r="67" spans="1:25" s="25" customFormat="1" x14ac:dyDescent="0.2">
      <c r="A67" s="25">
        <v>210.26260379999999</v>
      </c>
      <c r="B67" s="25">
        <v>84.00419617</v>
      </c>
      <c r="C67" s="25">
        <v>84.009712219999997</v>
      </c>
      <c r="D67" s="25">
        <v>86.948402400000006</v>
      </c>
      <c r="E67" s="25">
        <v>84.878837590000003</v>
      </c>
      <c r="F67" s="25">
        <v>6.650827885</v>
      </c>
      <c r="G67" s="25">
        <v>5.8065390590000003</v>
      </c>
      <c r="H67" s="25">
        <v>23608.640630000002</v>
      </c>
      <c r="I67" s="25">
        <v>24989.841799999998</v>
      </c>
      <c r="J67" s="25">
        <v>192.5802612</v>
      </c>
      <c r="K67" s="25">
        <v>99.752197269999996</v>
      </c>
      <c r="L67" s="25">
        <v>14.06299973</v>
      </c>
      <c r="M67" s="25">
        <v>0.351000011</v>
      </c>
      <c r="N67" s="25">
        <v>28.624000550000002</v>
      </c>
      <c r="O67" s="25">
        <v>1.006999969</v>
      </c>
      <c r="P67" s="25">
        <v>83.806190490000006</v>
      </c>
      <c r="Q67" s="25">
        <v>83.697799680000003</v>
      </c>
      <c r="R67" s="61">
        <f t="shared" si="0"/>
        <v>203.63531987594428</v>
      </c>
      <c r="S67" s="61">
        <f t="shared" si="1"/>
        <v>193.1955538952239</v>
      </c>
      <c r="T67" s="25">
        <v>10.93171224</v>
      </c>
      <c r="U67" s="25">
        <v>14.859652519999999</v>
      </c>
      <c r="V67" s="25">
        <v>97.564867370000002</v>
      </c>
      <c r="W67" s="25">
        <v>95.891451829999994</v>
      </c>
      <c r="X67" s="25">
        <v>25.79136476</v>
      </c>
      <c r="Y67" s="25">
        <v>96.601532340000006</v>
      </c>
    </row>
    <row r="68" spans="1:25" s="25" customFormat="1" x14ac:dyDescent="0.2">
      <c r="A68" s="25">
        <v>211.58432010000001</v>
      </c>
      <c r="B68" s="25">
        <v>83.564849850000002</v>
      </c>
      <c r="C68" s="25">
        <v>83.773902890000002</v>
      </c>
      <c r="D68" s="25">
        <v>87.01171875</v>
      </c>
      <c r="E68" s="25">
        <v>85.015869140000007</v>
      </c>
      <c r="F68" s="25">
        <v>6.5167236329999998</v>
      </c>
      <c r="G68" s="25">
        <v>5.9899902340000004</v>
      </c>
      <c r="H68" s="25">
        <v>23562.73633</v>
      </c>
      <c r="I68" s="25">
        <v>24998.712889999999</v>
      </c>
      <c r="J68" s="25">
        <v>192.9863129</v>
      </c>
      <c r="K68" s="25">
        <v>99.748397830000002</v>
      </c>
      <c r="L68" s="25">
        <v>14.022999759999999</v>
      </c>
      <c r="M68" s="25">
        <v>0.33800000000000002</v>
      </c>
      <c r="N68" s="25">
        <v>28.379999160000001</v>
      </c>
      <c r="O68" s="25">
        <v>1.016000032</v>
      </c>
      <c r="P68" s="25">
        <v>83.328804020000007</v>
      </c>
      <c r="Q68" s="25">
        <v>83.44044495</v>
      </c>
      <c r="R68" s="61">
        <f t="shared" si="0"/>
        <v>203.68382585913076</v>
      </c>
      <c r="S68" s="61">
        <f t="shared" si="1"/>
        <v>192.52293166099051</v>
      </c>
      <c r="T68" s="25">
        <v>10.82543607</v>
      </c>
      <c r="U68" s="25">
        <v>14.51569772</v>
      </c>
      <c r="V68" s="25">
        <v>97.646403419999999</v>
      </c>
      <c r="W68" s="25">
        <v>95.719557730000005</v>
      </c>
      <c r="X68" s="25">
        <v>25.341133800000001</v>
      </c>
      <c r="Y68" s="25">
        <v>96.543747240000002</v>
      </c>
    </row>
    <row r="69" spans="1:25" s="25" customFormat="1" x14ac:dyDescent="0.2">
      <c r="A69" s="25">
        <v>214.9264221</v>
      </c>
      <c r="B69" s="25">
        <v>83.197235109999994</v>
      </c>
      <c r="C69" s="25">
        <v>83.305725100000004</v>
      </c>
      <c r="D69" s="25">
        <v>87.158355709999995</v>
      </c>
      <c r="E69" s="25">
        <v>85.107574459999995</v>
      </c>
      <c r="F69" s="25">
        <v>6.566436768</v>
      </c>
      <c r="G69" s="25">
        <v>5.8697409629999999</v>
      </c>
      <c r="H69" s="25">
        <v>23648.515630000002</v>
      </c>
      <c r="I69" s="25">
        <v>24955.507809999999</v>
      </c>
      <c r="J69" s="25">
        <v>195.4818726</v>
      </c>
      <c r="K69" s="25">
        <v>99.696403500000002</v>
      </c>
      <c r="L69" s="25">
        <v>14.06000042</v>
      </c>
      <c r="M69" s="25">
        <v>0.35299998500000002</v>
      </c>
      <c r="N69" s="25">
        <v>28.423000340000002</v>
      </c>
      <c r="O69" s="25">
        <v>1.0019999740000001</v>
      </c>
      <c r="P69" s="25">
        <v>83.152336120000001</v>
      </c>
      <c r="Q69" s="25">
        <v>83.186676030000001</v>
      </c>
      <c r="R69" s="61">
        <f t="shared" si="0"/>
        <v>213.42364523706706</v>
      </c>
      <c r="S69" s="61">
        <f t="shared" si="1"/>
        <v>209.43905253354046</v>
      </c>
      <c r="T69" s="25">
        <v>11.214240390000001</v>
      </c>
      <c r="U69" s="25">
        <v>15.96414701</v>
      </c>
      <c r="V69" s="25">
        <v>97.550822350000004</v>
      </c>
      <c r="W69" s="25">
        <v>95.921831800000007</v>
      </c>
      <c r="X69" s="25">
        <v>27.178387399999998</v>
      </c>
      <c r="Y69" s="25">
        <v>96.594732489999998</v>
      </c>
    </row>
    <row r="70" spans="1:25" s="25" customFormat="1" x14ac:dyDescent="0.2">
      <c r="A70" s="25">
        <v>214.53758239999999</v>
      </c>
      <c r="B70" s="25">
        <v>82.85127258</v>
      </c>
      <c r="C70" s="25">
        <v>82.987663269999999</v>
      </c>
      <c r="D70" s="25">
        <v>87.368309019999998</v>
      </c>
      <c r="E70" s="25">
        <v>85.015716549999993</v>
      </c>
      <c r="F70" s="25">
        <v>6.4188132290000004</v>
      </c>
      <c r="G70" s="25">
        <v>6.087351322</v>
      </c>
      <c r="H70" s="25">
        <v>23602.876950000002</v>
      </c>
      <c r="I70" s="25">
        <v>24921.35742</v>
      </c>
      <c r="J70" s="25">
        <v>196.89308170000001</v>
      </c>
      <c r="K70" s="25">
        <v>99.689300540000005</v>
      </c>
      <c r="L70" s="25">
        <v>14.17700005</v>
      </c>
      <c r="M70" s="25">
        <v>0.347000003</v>
      </c>
      <c r="N70" s="25">
        <v>28.417999269999999</v>
      </c>
      <c r="O70" s="25">
        <v>1.0030000210000001</v>
      </c>
      <c r="P70" s="25">
        <v>82.599807740000003</v>
      </c>
      <c r="Q70" s="25">
        <v>82.714309689999993</v>
      </c>
      <c r="R70" s="61">
        <f t="shared" si="0"/>
        <v>206.12101126124645</v>
      </c>
      <c r="S70" s="61">
        <f t="shared" ref="S70:S133" si="2">(Q70-C70)*$T$1/100+R70</f>
        <v>196.97182025663909</v>
      </c>
      <c r="T70" s="25">
        <v>10.9337278</v>
      </c>
      <c r="U70" s="25">
        <v>14.671603210000001</v>
      </c>
      <c r="V70" s="25">
        <v>97.610850990000003</v>
      </c>
      <c r="W70" s="25">
        <v>95.829162580000002</v>
      </c>
      <c r="X70" s="25">
        <v>25.60533101</v>
      </c>
      <c r="Y70" s="25">
        <v>96.59087031</v>
      </c>
    </row>
    <row r="71" spans="1:25" s="25" customFormat="1" x14ac:dyDescent="0.2">
      <c r="A71" s="25">
        <v>211.73202509999999</v>
      </c>
      <c r="B71" s="25">
        <v>84.542312620000004</v>
      </c>
      <c r="C71" s="25">
        <v>84.426094059999997</v>
      </c>
      <c r="D71" s="25">
        <v>87.488403320000003</v>
      </c>
      <c r="E71" s="25">
        <v>85.125885010000005</v>
      </c>
      <c r="F71" s="25">
        <v>5.995117188</v>
      </c>
      <c r="G71" s="25">
        <v>5.6180520060000001</v>
      </c>
      <c r="H71" s="25">
        <v>24259.775389999999</v>
      </c>
      <c r="I71" s="25">
        <v>25799.789059999999</v>
      </c>
      <c r="J71" s="25">
        <v>196.05270390000001</v>
      </c>
      <c r="K71" s="25">
        <v>99.70500183</v>
      </c>
      <c r="L71" s="25">
        <v>14.56400013</v>
      </c>
      <c r="M71" s="25">
        <v>0.36500000999999999</v>
      </c>
      <c r="N71" s="25">
        <v>29.45100021</v>
      </c>
      <c r="O71" s="25">
        <v>1.0420000549999999</v>
      </c>
      <c r="P71" s="25">
        <v>84.119972230000002</v>
      </c>
      <c r="Q71" s="25">
        <v>84.071716309999999</v>
      </c>
      <c r="R71" s="61">
        <f t="shared" ref="R71:R134" si="3">(P71-B71)*$T$1/100+A71</f>
        <v>197.59622012144322</v>
      </c>
      <c r="S71" s="61">
        <f t="shared" si="2"/>
        <v>185.73513631001879</v>
      </c>
      <c r="T71" s="25">
        <v>10.915557290000001</v>
      </c>
      <c r="U71" s="25">
        <v>14.43664128</v>
      </c>
      <c r="V71" s="25">
        <v>97.555094069999996</v>
      </c>
      <c r="W71" s="25">
        <v>95.846214529999997</v>
      </c>
      <c r="X71" s="25">
        <v>25.352198569999999</v>
      </c>
      <c r="Y71" s="25">
        <v>96.582822140000005</v>
      </c>
    </row>
    <row r="72" spans="1:25" s="25" customFormat="1" x14ac:dyDescent="0.2">
      <c r="A72" s="25">
        <v>215.81185909999999</v>
      </c>
      <c r="B72" s="25">
        <v>84.503929139999997</v>
      </c>
      <c r="C72" s="25">
        <v>84.078254700000002</v>
      </c>
      <c r="D72" s="25">
        <v>87.634124760000006</v>
      </c>
      <c r="E72" s="25">
        <v>85.290985109999994</v>
      </c>
      <c r="F72" s="25">
        <v>5.9072670939999998</v>
      </c>
      <c r="G72" s="25">
        <v>5.5886130329999997</v>
      </c>
      <c r="H72" s="25">
        <v>23504.6875</v>
      </c>
      <c r="I72" s="25">
        <v>24853.900389999999</v>
      </c>
      <c r="J72" s="25">
        <v>196.23547360000001</v>
      </c>
      <c r="K72" s="25">
        <v>99.705497739999998</v>
      </c>
      <c r="L72" s="25">
        <v>14.211000439999999</v>
      </c>
      <c r="M72" s="25">
        <v>0.349000007</v>
      </c>
      <c r="N72" s="25">
        <v>28.56699944</v>
      </c>
      <c r="O72" s="25">
        <v>0.99400001800000004</v>
      </c>
      <c r="P72" s="25">
        <v>84.334152219999993</v>
      </c>
      <c r="Q72" s="25">
        <v>83.977546689999997</v>
      </c>
      <c r="R72" s="61">
        <f t="shared" si="3"/>
        <v>210.12939659391557</v>
      </c>
      <c r="S72" s="61">
        <f t="shared" si="2"/>
        <v>206.75868230078672</v>
      </c>
      <c r="T72" s="25">
        <v>11.106301459999999</v>
      </c>
      <c r="U72" s="25">
        <v>15.733888390000001</v>
      </c>
      <c r="V72" s="25">
        <v>97.603021999999996</v>
      </c>
      <c r="W72" s="25">
        <v>95.954571020000003</v>
      </c>
      <c r="X72" s="25">
        <v>26.840189850000002</v>
      </c>
      <c r="Y72" s="25">
        <v>96.637461400000007</v>
      </c>
    </row>
    <row r="73" spans="1:25" s="25" customFormat="1" x14ac:dyDescent="0.2">
      <c r="A73" s="25">
        <v>213.3553162</v>
      </c>
      <c r="B73" s="25">
        <v>82.386047360000006</v>
      </c>
      <c r="C73" s="25">
        <v>82.809326170000006</v>
      </c>
      <c r="D73" s="25">
        <v>87.460487369999996</v>
      </c>
      <c r="E73" s="25">
        <v>85.061790470000005</v>
      </c>
      <c r="F73" s="25">
        <v>6.31293726</v>
      </c>
      <c r="G73" s="25">
        <v>5.6160073280000002</v>
      </c>
      <c r="H73" s="25">
        <v>24029.628909999999</v>
      </c>
      <c r="I73" s="25">
        <v>24040.417969999999</v>
      </c>
      <c r="J73" s="25">
        <v>193.4621429</v>
      </c>
      <c r="K73" s="25">
        <v>99.677696229999995</v>
      </c>
      <c r="L73" s="25">
        <v>14.744999890000001</v>
      </c>
      <c r="M73" s="25">
        <v>0.43000000700000002</v>
      </c>
      <c r="N73" s="25">
        <v>29.084999079999999</v>
      </c>
      <c r="O73" s="25">
        <v>0.94099998500000004</v>
      </c>
      <c r="P73" s="25">
        <v>81.584518430000003</v>
      </c>
      <c r="Q73" s="25">
        <v>82.398765560000001</v>
      </c>
      <c r="R73" s="61">
        <f t="shared" si="3"/>
        <v>186.52800603165156</v>
      </c>
      <c r="S73" s="61">
        <f t="shared" si="2"/>
        <v>172.78647230138878</v>
      </c>
      <c r="T73" s="25">
        <v>10.401814099999999</v>
      </c>
      <c r="U73" s="25">
        <v>12.6437138</v>
      </c>
      <c r="V73" s="25">
        <v>97.166392029999997</v>
      </c>
      <c r="W73" s="25">
        <v>96.618803040000003</v>
      </c>
      <c r="X73" s="25">
        <v>23.045527910000001</v>
      </c>
      <c r="Y73" s="25">
        <v>96.866049380000007</v>
      </c>
    </row>
    <row r="74" spans="1:25" s="25" customFormat="1" x14ac:dyDescent="0.2">
      <c r="A74" s="25">
        <v>217.22854609999999</v>
      </c>
      <c r="B74" s="25">
        <v>82.502822879999997</v>
      </c>
      <c r="C74" s="25">
        <v>83.399253849999994</v>
      </c>
      <c r="D74" s="25">
        <v>87.762451170000006</v>
      </c>
      <c r="E74" s="25">
        <v>84.851074220000001</v>
      </c>
      <c r="F74" s="25">
        <v>6.2066650389999998</v>
      </c>
      <c r="G74" s="25">
        <v>5.734863281</v>
      </c>
      <c r="H74" s="25">
        <v>23949.960940000001</v>
      </c>
      <c r="I74" s="25">
        <v>24041.027340000001</v>
      </c>
      <c r="J74" s="25">
        <v>198.3384399</v>
      </c>
      <c r="K74" s="25">
        <v>99.693000789999999</v>
      </c>
      <c r="L74" s="25">
        <v>15.161999700000001</v>
      </c>
      <c r="M74" s="25">
        <v>0.45300000899999998</v>
      </c>
      <c r="N74" s="25">
        <v>29.3390007</v>
      </c>
      <c r="O74" s="25">
        <v>1.0720000270000001</v>
      </c>
      <c r="P74" s="25">
        <v>81.997947690000004</v>
      </c>
      <c r="Q74" s="25">
        <v>82.928077700000003</v>
      </c>
      <c r="R74" s="61">
        <f t="shared" si="3"/>
        <v>200.33028727054813</v>
      </c>
      <c r="S74" s="61">
        <f t="shared" si="2"/>
        <v>184.55994106485599</v>
      </c>
      <c r="T74" s="25">
        <v>11.289615209999999</v>
      </c>
      <c r="U74" s="25">
        <v>13.20475684</v>
      </c>
      <c r="V74" s="25">
        <v>97.098943210000002</v>
      </c>
      <c r="W74" s="25">
        <v>95.940751610000007</v>
      </c>
      <c r="X74" s="25">
        <v>24.494372049999999</v>
      </c>
      <c r="Y74" s="25">
        <v>96.474959720000001</v>
      </c>
    </row>
    <row r="75" spans="1:25" s="25" customFormat="1" x14ac:dyDescent="0.2">
      <c r="A75" s="25">
        <v>215.33752440000001</v>
      </c>
      <c r="B75" s="25">
        <v>82.732276920000004</v>
      </c>
      <c r="C75" s="25">
        <v>83.737007140000003</v>
      </c>
      <c r="D75" s="25">
        <v>87.918083190000004</v>
      </c>
      <c r="E75" s="25">
        <v>85.034179690000002</v>
      </c>
      <c r="F75" s="25">
        <v>5.7684326170000002</v>
      </c>
      <c r="G75" s="25">
        <v>5.8215332030000004</v>
      </c>
      <c r="H75" s="25">
        <v>24117.902340000001</v>
      </c>
      <c r="I75" s="25">
        <v>24667.787110000001</v>
      </c>
      <c r="J75" s="25">
        <v>197.54478449999999</v>
      </c>
      <c r="K75" s="25">
        <v>99.696998600000001</v>
      </c>
      <c r="L75" s="25">
        <v>14.79399967</v>
      </c>
      <c r="M75" s="25">
        <v>0.41999998700000002</v>
      </c>
      <c r="N75" s="25">
        <v>28.79700089</v>
      </c>
      <c r="O75" s="25">
        <v>1.036000013</v>
      </c>
      <c r="P75" s="25">
        <v>82.100257869999993</v>
      </c>
      <c r="Q75" s="25">
        <v>83.185295100000005</v>
      </c>
      <c r="R75" s="61">
        <f t="shared" si="3"/>
        <v>194.18373886333177</v>
      </c>
      <c r="S75" s="61">
        <f t="shared" si="2"/>
        <v>175.71784266580818</v>
      </c>
      <c r="T75" s="25">
        <v>10.75363121</v>
      </c>
      <c r="U75" s="25">
        <v>12.322558730000001</v>
      </c>
      <c r="V75" s="25">
        <v>97.239384799999996</v>
      </c>
      <c r="W75" s="25">
        <v>95.904974359999997</v>
      </c>
      <c r="X75" s="25">
        <v>23.076189939999999</v>
      </c>
      <c r="Y75" s="25">
        <v>96.527335559999997</v>
      </c>
    </row>
    <row r="76" spans="1:25" s="25" customFormat="1" x14ac:dyDescent="0.2">
      <c r="A76" s="25">
        <v>217.8121338</v>
      </c>
      <c r="B76" s="25">
        <v>84.383308409999998</v>
      </c>
      <c r="C76" s="25">
        <v>83.95939636</v>
      </c>
      <c r="D76" s="25">
        <v>87.991325380000006</v>
      </c>
      <c r="E76" s="25">
        <v>85.208274840000001</v>
      </c>
      <c r="F76" s="25">
        <v>5.9370217319999998</v>
      </c>
      <c r="G76" s="25">
        <v>5.6946816440000001</v>
      </c>
      <c r="H76" s="25">
        <v>24102.300780000001</v>
      </c>
      <c r="I76" s="25">
        <v>24982.283200000002</v>
      </c>
      <c r="J76" s="25">
        <v>198.39607240000001</v>
      </c>
      <c r="K76" s="25">
        <v>99.703002929999997</v>
      </c>
      <c r="L76" s="25">
        <v>14.24600029</v>
      </c>
      <c r="M76" s="25">
        <v>0.41999998700000002</v>
      </c>
      <c r="N76" s="25">
        <v>28.38699913</v>
      </c>
      <c r="O76" s="25">
        <v>1.019999981</v>
      </c>
      <c r="P76" s="25">
        <v>84.068984990000004</v>
      </c>
      <c r="Q76" s="25">
        <v>83.772697449999995</v>
      </c>
      <c r="R76" s="61">
        <f t="shared" si="3"/>
        <v>207.29167525396116</v>
      </c>
      <c r="S76" s="61">
        <f t="shared" si="2"/>
        <v>201.04283085272081</v>
      </c>
      <c r="T76" s="25">
        <v>10.94098404</v>
      </c>
      <c r="U76" s="25">
        <v>14.78665921</v>
      </c>
      <c r="V76" s="25">
        <v>97.136233610000005</v>
      </c>
      <c r="W76" s="25">
        <v>96.083384350000003</v>
      </c>
      <c r="X76" s="25">
        <v>25.727643260000001</v>
      </c>
      <c r="Y76" s="25">
        <v>96.531438050000006</v>
      </c>
    </row>
    <row r="77" spans="1:25" s="25" customFormat="1" x14ac:dyDescent="0.2">
      <c r="A77" s="25">
        <v>213.62277219999999</v>
      </c>
      <c r="B77" s="25">
        <v>84.807067869999997</v>
      </c>
      <c r="C77" s="25">
        <v>84.36154938</v>
      </c>
      <c r="D77" s="25">
        <v>87.87200928</v>
      </c>
      <c r="E77" s="25">
        <v>85.135185239999998</v>
      </c>
      <c r="F77" s="25">
        <v>5.7955117229999997</v>
      </c>
      <c r="G77" s="25">
        <v>5.6304931639999998</v>
      </c>
      <c r="H77" s="25">
        <v>24067.472659999999</v>
      </c>
      <c r="I77" s="25">
        <v>24507.572270000001</v>
      </c>
      <c r="J77" s="25">
        <v>198.71423340000001</v>
      </c>
      <c r="K77" s="25">
        <v>99.69029999</v>
      </c>
      <c r="L77" s="25">
        <v>14.31099987</v>
      </c>
      <c r="M77" s="25">
        <v>0.38800001099999998</v>
      </c>
      <c r="N77" s="25">
        <v>28.472999569999999</v>
      </c>
      <c r="O77" s="25">
        <v>1.0219999550000001</v>
      </c>
      <c r="P77" s="25">
        <v>84.379989620000003</v>
      </c>
      <c r="Q77" s="25">
        <v>84.089714049999998</v>
      </c>
      <c r="R77" s="61">
        <f t="shared" si="3"/>
        <v>199.3283902381346</v>
      </c>
      <c r="S77" s="61">
        <f t="shared" si="2"/>
        <v>190.23001532030676</v>
      </c>
      <c r="T77" s="25">
        <v>10.74968234</v>
      </c>
      <c r="U77" s="25">
        <v>14.14898994</v>
      </c>
      <c r="V77" s="25">
        <v>97.36036455</v>
      </c>
      <c r="W77" s="25">
        <v>95.906872969999995</v>
      </c>
      <c r="X77" s="25">
        <v>24.89867228</v>
      </c>
      <c r="Y77" s="25">
        <v>96.535006030000005</v>
      </c>
    </row>
    <row r="78" spans="1:25" s="25" customFormat="1" x14ac:dyDescent="0.2">
      <c r="A78" s="25">
        <v>215.83602909999999</v>
      </c>
      <c r="B78" s="25">
        <v>84.720771790000001</v>
      </c>
      <c r="C78" s="25">
        <v>84.17997742</v>
      </c>
      <c r="D78" s="25">
        <v>88.055419920000006</v>
      </c>
      <c r="E78" s="25">
        <v>85.125732420000006</v>
      </c>
      <c r="F78" s="25">
        <v>5.7476806639999998</v>
      </c>
      <c r="G78" s="25">
        <v>5.7476806639999998</v>
      </c>
      <c r="H78" s="25">
        <v>23909.64258</v>
      </c>
      <c r="I78" s="25">
        <v>24811.744139999999</v>
      </c>
      <c r="J78" s="25">
        <v>197.3203278</v>
      </c>
      <c r="K78" s="25">
        <v>99.690200809999993</v>
      </c>
      <c r="L78" s="25">
        <v>14.18999958</v>
      </c>
      <c r="M78" s="25">
        <v>0.41899999999999998</v>
      </c>
      <c r="N78" s="25">
        <v>28.275999070000001</v>
      </c>
      <c r="O78" s="25">
        <v>0.99900001299999996</v>
      </c>
      <c r="P78" s="25">
        <v>84.281227110000003</v>
      </c>
      <c r="Q78" s="25">
        <v>84.082901000000007</v>
      </c>
      <c r="R78" s="61">
        <f t="shared" si="3"/>
        <v>201.12439359707764</v>
      </c>
      <c r="S78" s="61">
        <f t="shared" si="2"/>
        <v>197.87522924143462</v>
      </c>
      <c r="T78" s="25">
        <v>10.67245067</v>
      </c>
      <c r="U78" s="25">
        <v>14.7685631</v>
      </c>
      <c r="V78" s="25">
        <v>97.131904910000003</v>
      </c>
      <c r="W78" s="25">
        <v>96.193710370000005</v>
      </c>
      <c r="X78" s="25">
        <v>25.441013770000001</v>
      </c>
      <c r="Y78" s="25">
        <v>96.587531870000007</v>
      </c>
    </row>
    <row r="79" spans="1:25" s="25" customFormat="1" x14ac:dyDescent="0.2">
      <c r="A79" s="25">
        <v>217.82318119999999</v>
      </c>
      <c r="B79" s="25">
        <v>83.661499019999994</v>
      </c>
      <c r="C79" s="25">
        <v>83.947830199999999</v>
      </c>
      <c r="D79" s="25">
        <v>88.83376312</v>
      </c>
      <c r="E79" s="25">
        <v>85.82122803</v>
      </c>
      <c r="F79" s="25">
        <v>5.0964560509999997</v>
      </c>
      <c r="G79" s="25">
        <v>5.2293701170000002</v>
      </c>
      <c r="H79" s="25">
        <v>24385.53125</v>
      </c>
      <c r="I79" s="25">
        <v>24920.9375</v>
      </c>
      <c r="J79" s="25">
        <v>202.55497740000001</v>
      </c>
      <c r="K79" s="25">
        <v>99.692398069999996</v>
      </c>
      <c r="L79" s="25">
        <v>15.053999900000001</v>
      </c>
      <c r="M79" s="25">
        <v>0.40999999599999998</v>
      </c>
      <c r="N79" s="25">
        <v>29.635999680000001</v>
      </c>
      <c r="O79" s="25">
        <v>1.1119999890000001</v>
      </c>
      <c r="P79" s="25">
        <v>83.247116090000006</v>
      </c>
      <c r="Q79" s="25">
        <v>83.634811400000004</v>
      </c>
      <c r="R79" s="61">
        <f t="shared" si="3"/>
        <v>203.95371376658039</v>
      </c>
      <c r="S79" s="61">
        <f t="shared" si="2"/>
        <v>193.47692107473824</v>
      </c>
      <c r="T79" s="25">
        <v>11.34834144</v>
      </c>
      <c r="U79" s="25">
        <v>14.54607277</v>
      </c>
      <c r="V79" s="25">
        <v>97.348680810000005</v>
      </c>
      <c r="W79" s="25">
        <v>95.62899075</v>
      </c>
      <c r="X79" s="25">
        <v>25.894414210000001</v>
      </c>
      <c r="Y79" s="25">
        <v>96.383504619999997</v>
      </c>
    </row>
    <row r="80" spans="1:25" s="25" customFormat="1" x14ac:dyDescent="0.2">
      <c r="A80" s="25">
        <v>217.83416750000001</v>
      </c>
      <c r="B80" s="25">
        <v>83.881744380000001</v>
      </c>
      <c r="C80" s="25">
        <v>84.222213749999995</v>
      </c>
      <c r="D80" s="25">
        <v>88.76953125</v>
      </c>
      <c r="E80" s="25">
        <v>86.004638670000006</v>
      </c>
      <c r="F80" s="25">
        <v>5.0793457030000004</v>
      </c>
      <c r="G80" s="25">
        <v>4.7344970699999998</v>
      </c>
      <c r="H80" s="25">
        <v>24536.792969999999</v>
      </c>
      <c r="I80" s="25">
        <v>24182.408200000002</v>
      </c>
      <c r="J80" s="25">
        <v>198.7728577</v>
      </c>
      <c r="K80" s="25">
        <v>99.698997500000004</v>
      </c>
      <c r="L80" s="25">
        <v>15.161000250000001</v>
      </c>
      <c r="M80" s="25">
        <v>0.435000002</v>
      </c>
      <c r="N80" s="25">
        <v>29.457000730000001</v>
      </c>
      <c r="O80" s="25">
        <v>1.0720000270000001</v>
      </c>
      <c r="P80" s="25">
        <v>83.275665279999998</v>
      </c>
      <c r="Q80" s="25">
        <v>84.055587770000002</v>
      </c>
      <c r="R80" s="61">
        <f t="shared" si="3"/>
        <v>197.54859651973175</v>
      </c>
      <c r="S80" s="61">
        <f t="shared" si="2"/>
        <v>191.97159651355005</v>
      </c>
      <c r="T80" s="25">
        <v>11.08627368</v>
      </c>
      <c r="U80" s="25">
        <v>14.41756599</v>
      </c>
      <c r="V80" s="25">
        <v>97.210823320000003</v>
      </c>
      <c r="W80" s="25">
        <v>95.932393329999996</v>
      </c>
      <c r="X80" s="25">
        <v>25.503839660000001</v>
      </c>
      <c r="Y80" s="25">
        <v>96.488584619999997</v>
      </c>
    </row>
    <row r="81" spans="1:25" s="25" customFormat="1" x14ac:dyDescent="0.2">
      <c r="A81" s="25">
        <v>218.16677859999999</v>
      </c>
      <c r="B81" s="25">
        <v>84.217247009999994</v>
      </c>
      <c r="C81" s="25">
        <v>84.309288019999997</v>
      </c>
      <c r="D81" s="25">
        <v>88.668830869999994</v>
      </c>
      <c r="E81" s="25">
        <v>85.931701660000002</v>
      </c>
      <c r="F81" s="25">
        <v>5.2929282190000002</v>
      </c>
      <c r="G81" s="25">
        <v>4.8201193809999996</v>
      </c>
      <c r="H81" s="25">
        <v>24451.90625</v>
      </c>
      <c r="I81" s="25">
        <v>23967.947270000001</v>
      </c>
      <c r="J81" s="25">
        <v>200.8546906</v>
      </c>
      <c r="K81" s="25">
        <v>99.694702149999998</v>
      </c>
      <c r="L81" s="25">
        <v>14.942999840000001</v>
      </c>
      <c r="M81" s="25">
        <v>0.38999998600000002</v>
      </c>
      <c r="N81" s="25">
        <v>29.37800026</v>
      </c>
      <c r="O81" s="25">
        <v>1.0720000270000001</v>
      </c>
      <c r="P81" s="25">
        <v>83.965774539999998</v>
      </c>
      <c r="Q81" s="25">
        <v>84.252609250000006</v>
      </c>
      <c r="R81" s="61">
        <f t="shared" si="3"/>
        <v>209.74995208384345</v>
      </c>
      <c r="S81" s="61">
        <f t="shared" si="2"/>
        <v>207.85290397261653</v>
      </c>
      <c r="T81" s="25">
        <v>11.55203622</v>
      </c>
      <c r="U81" s="25">
        <v>15.94970065</v>
      </c>
      <c r="V81" s="25">
        <v>97.456466509999998</v>
      </c>
      <c r="W81" s="25">
        <v>95.770461800000007</v>
      </c>
      <c r="X81" s="25">
        <v>27.501736869999998</v>
      </c>
      <c r="Y81" s="25">
        <v>96.479474490000001</v>
      </c>
    </row>
    <row r="82" spans="1:25" s="25" customFormat="1" x14ac:dyDescent="0.2">
      <c r="A82" s="25">
        <v>215.2880859</v>
      </c>
      <c r="B82" s="25">
        <v>83.714157099999994</v>
      </c>
      <c r="C82" s="25">
        <v>84.11217499</v>
      </c>
      <c r="D82" s="25">
        <v>88.760368349999993</v>
      </c>
      <c r="E82" s="25">
        <v>85.830680849999993</v>
      </c>
      <c r="F82" s="25">
        <v>5.0897216800000002</v>
      </c>
      <c r="G82" s="25">
        <v>5.0592041019999998</v>
      </c>
      <c r="H82" s="25">
        <v>24499.998049999998</v>
      </c>
      <c r="I82" s="25">
        <v>24461.037110000001</v>
      </c>
      <c r="J82" s="25">
        <v>199.64907840000001</v>
      </c>
      <c r="K82" s="25">
        <v>99.690902710000003</v>
      </c>
      <c r="L82" s="25">
        <v>14.99800014</v>
      </c>
      <c r="M82" s="25">
        <v>0.437000006</v>
      </c>
      <c r="N82" s="25">
        <v>29.658000950000002</v>
      </c>
      <c r="O82" s="25">
        <v>1.0529999729999999</v>
      </c>
      <c r="P82" s="25">
        <v>83.213058469999993</v>
      </c>
      <c r="Q82" s="25">
        <v>83.845504759999997</v>
      </c>
      <c r="R82" s="61">
        <f t="shared" si="3"/>
        <v>198.51622917869057</v>
      </c>
      <c r="S82" s="61">
        <f t="shared" si="2"/>
        <v>189.59073103993359</v>
      </c>
      <c r="T82" s="25">
        <v>11.157418509999999</v>
      </c>
      <c r="U82" s="25">
        <v>14.47952944</v>
      </c>
      <c r="V82" s="25">
        <v>97.168772259999997</v>
      </c>
      <c r="W82" s="25">
        <v>96.110269509999995</v>
      </c>
      <c r="X82" s="25">
        <v>25.63694795</v>
      </c>
      <c r="Y82" s="25">
        <v>96.571261300000003</v>
      </c>
    </row>
    <row r="83" spans="1:25" s="25" customFormat="1" x14ac:dyDescent="0.2">
      <c r="A83" s="25">
        <v>211.0116577</v>
      </c>
      <c r="B83" s="25">
        <v>84.298927309999996</v>
      </c>
      <c r="C83" s="25">
        <v>84.280220029999995</v>
      </c>
      <c r="D83" s="25">
        <v>88.742073059999996</v>
      </c>
      <c r="E83" s="25">
        <v>85.803222660000003</v>
      </c>
      <c r="F83" s="25">
        <v>5.151367188</v>
      </c>
      <c r="G83" s="25">
        <v>5.0592041019999998</v>
      </c>
      <c r="H83" s="25">
        <v>24280.453130000002</v>
      </c>
      <c r="I83" s="25">
        <v>24485.248049999998</v>
      </c>
      <c r="J83" s="25">
        <v>195.98156739999999</v>
      </c>
      <c r="K83" s="25">
        <v>99.696098329999998</v>
      </c>
      <c r="L83" s="25">
        <v>15.25399971</v>
      </c>
      <c r="M83" s="25">
        <v>0.49300000100000002</v>
      </c>
      <c r="N83" s="25">
        <v>29.896999359999999</v>
      </c>
      <c r="O83" s="25">
        <v>1.164999962</v>
      </c>
      <c r="P83" s="25">
        <v>83.885589600000003</v>
      </c>
      <c r="Q83" s="25">
        <v>84.039146419999994</v>
      </c>
      <c r="R83" s="61">
        <f t="shared" si="3"/>
        <v>197.17717395847785</v>
      </c>
      <c r="S83" s="61">
        <f t="shared" si="2"/>
        <v>189.10839906238837</v>
      </c>
      <c r="T83" s="25">
        <v>11.538749899999999</v>
      </c>
      <c r="U83" s="25">
        <v>14.85796794</v>
      </c>
      <c r="V83" s="25">
        <v>96.869244870000003</v>
      </c>
      <c r="W83" s="25">
        <v>95.767470529999997</v>
      </c>
      <c r="X83" s="25">
        <v>26.396717840000001</v>
      </c>
      <c r="Y83" s="25">
        <v>96.249436650000007</v>
      </c>
    </row>
    <row r="84" spans="1:25" s="25" customFormat="1" x14ac:dyDescent="0.2">
      <c r="A84" s="25">
        <v>208.8704224</v>
      </c>
      <c r="B84" s="25">
        <v>84.207344059999997</v>
      </c>
      <c r="C84" s="25">
        <v>84.071121219999995</v>
      </c>
      <c r="D84" s="25">
        <v>88.595893860000004</v>
      </c>
      <c r="E84" s="25">
        <v>85.070800779999999</v>
      </c>
      <c r="F84" s="25">
        <v>5.1911721230000003</v>
      </c>
      <c r="G84" s="25">
        <v>5.6690163609999997</v>
      </c>
      <c r="H84" s="25">
        <v>24435.791020000001</v>
      </c>
      <c r="I84" s="25">
        <v>24539.421880000002</v>
      </c>
      <c r="J84" s="25">
        <v>193.43612669999999</v>
      </c>
      <c r="K84" s="25">
        <v>99.694503780000005</v>
      </c>
      <c r="L84" s="25">
        <v>15.57299995</v>
      </c>
      <c r="M84" s="25">
        <v>0.521000028</v>
      </c>
      <c r="N84" s="25">
        <v>30.179000850000001</v>
      </c>
      <c r="O84" s="25">
        <v>1.1690000300000001</v>
      </c>
      <c r="P84" s="25">
        <v>83.701980590000005</v>
      </c>
      <c r="Q84" s="25">
        <v>83.797393799999995</v>
      </c>
      <c r="R84" s="61">
        <f t="shared" si="3"/>
        <v>191.95582075556206</v>
      </c>
      <c r="S84" s="61">
        <f t="shared" si="2"/>
        <v>182.79411726231228</v>
      </c>
      <c r="T84" s="25">
        <v>11.60005825</v>
      </c>
      <c r="U84" s="25">
        <v>14.413952780000001</v>
      </c>
      <c r="V84" s="25">
        <v>96.762768559999998</v>
      </c>
      <c r="W84" s="25">
        <v>95.87463262</v>
      </c>
      <c r="X84" s="25">
        <v>26.014011029999999</v>
      </c>
      <c r="Y84" s="25">
        <v>96.270894490000003</v>
      </c>
    </row>
    <row r="85" spans="1:25" s="25" customFormat="1" x14ac:dyDescent="0.2">
      <c r="A85" s="25">
        <v>207.9670715</v>
      </c>
      <c r="B85" s="25">
        <v>84.055786130000001</v>
      </c>
      <c r="C85" s="25">
        <v>84.057312010000004</v>
      </c>
      <c r="D85" s="25">
        <v>88.110351559999998</v>
      </c>
      <c r="E85" s="25">
        <v>85.556037900000007</v>
      </c>
      <c r="F85" s="25">
        <v>5.712890625</v>
      </c>
      <c r="G85" s="25">
        <v>5.2862548829999998</v>
      </c>
      <c r="H85" s="25">
        <v>24382.341799999998</v>
      </c>
      <c r="I85" s="25">
        <v>24583.806639999999</v>
      </c>
      <c r="J85" s="25">
        <v>192.09017940000001</v>
      </c>
      <c r="K85" s="25">
        <v>99.677803040000001</v>
      </c>
      <c r="L85" s="25">
        <v>14.727000240000001</v>
      </c>
      <c r="M85" s="25">
        <v>0.36199998900000002</v>
      </c>
      <c r="N85" s="25">
        <v>28.148000719999999</v>
      </c>
      <c r="O85" s="25">
        <v>1.055999994</v>
      </c>
      <c r="P85" s="25">
        <v>83.771293639999996</v>
      </c>
      <c r="Q85" s="25">
        <v>83.884674070000003</v>
      </c>
      <c r="R85" s="61">
        <f t="shared" si="3"/>
        <v>198.44505927544327</v>
      </c>
      <c r="S85" s="61">
        <f t="shared" si="2"/>
        <v>192.66683794136773</v>
      </c>
      <c r="T85" s="25">
        <v>11.282996880000001</v>
      </c>
      <c r="U85" s="25">
        <v>14.37260459</v>
      </c>
      <c r="V85" s="25">
        <v>97.600901429999993</v>
      </c>
      <c r="W85" s="25">
        <v>95.426357719999999</v>
      </c>
      <c r="X85" s="25">
        <v>25.655601470000001</v>
      </c>
      <c r="Y85" s="25">
        <v>96.384057089999999</v>
      </c>
    </row>
    <row r="86" spans="1:25" s="25" customFormat="1" x14ac:dyDescent="0.2">
      <c r="A86" s="25">
        <v>207.23297120000001</v>
      </c>
      <c r="B86" s="25">
        <v>84.604881289999994</v>
      </c>
      <c r="C86" s="25">
        <v>84.397048949999999</v>
      </c>
      <c r="D86" s="25">
        <v>87.981872559999999</v>
      </c>
      <c r="E86" s="25">
        <v>85.528564450000005</v>
      </c>
      <c r="F86" s="25">
        <v>5.6001586909999999</v>
      </c>
      <c r="G86" s="25">
        <v>5.0866904259999997</v>
      </c>
      <c r="H86" s="25">
        <v>24198.724610000001</v>
      </c>
      <c r="I86" s="25">
        <v>24218.185549999998</v>
      </c>
      <c r="J86" s="25">
        <v>191.5759583</v>
      </c>
      <c r="K86" s="25">
        <v>99.692596440000003</v>
      </c>
      <c r="L86" s="25">
        <v>15.194000239999999</v>
      </c>
      <c r="M86" s="25">
        <v>0.49000000999999999</v>
      </c>
      <c r="N86" s="25">
        <v>29.799999239999998</v>
      </c>
      <c r="O86" s="25">
        <v>1.1480000020000001</v>
      </c>
      <c r="P86" s="25">
        <v>84.359191890000005</v>
      </c>
      <c r="Q86" s="25">
        <v>84.268653869999994</v>
      </c>
      <c r="R86" s="61">
        <f t="shared" si="3"/>
        <v>199.00970502434853</v>
      </c>
      <c r="S86" s="61">
        <f t="shared" si="2"/>
        <v>194.71229977005532</v>
      </c>
      <c r="T86" s="25">
        <v>11.811224360000001</v>
      </c>
      <c r="U86" s="25">
        <v>15.761369950000001</v>
      </c>
      <c r="V86" s="25">
        <v>96.875796980000004</v>
      </c>
      <c r="W86" s="25">
        <v>95.851455959999996</v>
      </c>
      <c r="X86" s="25">
        <v>27.572594309999999</v>
      </c>
      <c r="Y86" s="25">
        <v>96.290551800000003</v>
      </c>
    </row>
    <row r="87" spans="1:25" s="25" customFormat="1" x14ac:dyDescent="0.2">
      <c r="A87" s="25">
        <v>211.43896480000001</v>
      </c>
      <c r="B87" s="25">
        <v>84.285369869999997</v>
      </c>
      <c r="C87" s="25">
        <v>84.345405580000005</v>
      </c>
      <c r="D87" s="25">
        <v>88.128967290000006</v>
      </c>
      <c r="E87" s="25">
        <v>85.657043459999997</v>
      </c>
      <c r="F87" s="25">
        <v>5.5839133260000002</v>
      </c>
      <c r="G87" s="25">
        <v>4.9445595740000003</v>
      </c>
      <c r="H87" s="25">
        <v>24303.976559999999</v>
      </c>
      <c r="I87" s="25">
        <v>24227.539059999999</v>
      </c>
      <c r="J87" s="25">
        <v>194.20619199999999</v>
      </c>
      <c r="K87" s="25">
        <v>99.710098270000003</v>
      </c>
      <c r="L87" s="25">
        <v>15.100999829999999</v>
      </c>
      <c r="M87" s="25">
        <v>0.39300000699999998</v>
      </c>
      <c r="N87" s="25">
        <v>29.507999420000001</v>
      </c>
      <c r="O87" s="25">
        <v>1.202000022</v>
      </c>
      <c r="P87" s="25">
        <v>84.389595029999995</v>
      </c>
      <c r="Q87" s="25">
        <v>84.165275570000006</v>
      </c>
      <c r="R87" s="61">
        <f t="shared" si="3"/>
        <v>214.92739870427056</v>
      </c>
      <c r="S87" s="61">
        <f t="shared" si="2"/>
        <v>208.89841650783546</v>
      </c>
      <c r="T87" s="25">
        <v>12.340075179999999</v>
      </c>
      <c r="U87" s="25">
        <v>16.431799130000002</v>
      </c>
      <c r="V87" s="25">
        <v>97.463534199999998</v>
      </c>
      <c r="W87" s="25">
        <v>95.048501329999993</v>
      </c>
      <c r="X87" s="25">
        <v>28.771874310000001</v>
      </c>
      <c r="Y87" s="25">
        <v>96.085965340000001</v>
      </c>
    </row>
    <row r="88" spans="1:25" s="25" customFormat="1" x14ac:dyDescent="0.2">
      <c r="A88" s="25">
        <v>211.20941160000001</v>
      </c>
      <c r="B88" s="25">
        <v>83.622856139999996</v>
      </c>
      <c r="C88" s="25">
        <v>83.243194579999994</v>
      </c>
      <c r="D88" s="25">
        <v>88.623046880000004</v>
      </c>
      <c r="E88" s="25">
        <v>85.647575380000006</v>
      </c>
      <c r="F88" s="25">
        <v>5.0231933590000004</v>
      </c>
      <c r="G88" s="25">
        <v>5.102539063</v>
      </c>
      <c r="H88" s="25">
        <v>24206.66992</v>
      </c>
      <c r="I88" s="25">
        <v>24564.097659999999</v>
      </c>
      <c r="J88" s="25">
        <v>196.79440310000001</v>
      </c>
      <c r="K88" s="25">
        <v>99.688003539999997</v>
      </c>
      <c r="L88" s="25">
        <v>15.09300041</v>
      </c>
      <c r="M88" s="25">
        <v>0.39800000200000002</v>
      </c>
      <c r="N88" s="25">
        <v>29.533000950000002</v>
      </c>
      <c r="O88" s="25">
        <v>1.1499999759999999</v>
      </c>
      <c r="P88" s="25">
        <v>83.803482059999993</v>
      </c>
      <c r="Q88" s="25">
        <v>83.760620119999999</v>
      </c>
      <c r="R88" s="61">
        <f t="shared" si="3"/>
        <v>217.25499198882414</v>
      </c>
      <c r="S88" s="61">
        <f t="shared" si="2"/>
        <v>234.57331317606472</v>
      </c>
      <c r="T88" s="25">
        <v>12.488100380000001</v>
      </c>
      <c r="U88" s="25">
        <v>19.827578689999999</v>
      </c>
      <c r="V88" s="25">
        <v>97.430766309999996</v>
      </c>
      <c r="W88" s="25">
        <v>95.507893580000001</v>
      </c>
      <c r="X88" s="25">
        <v>32.315679070000002</v>
      </c>
      <c r="Y88" s="25">
        <v>96.251996410000004</v>
      </c>
    </row>
    <row r="89" spans="1:25" s="25" customFormat="1" x14ac:dyDescent="0.2">
      <c r="A89" s="25">
        <v>206.1455383</v>
      </c>
      <c r="B89" s="25">
        <v>84.953796389999994</v>
      </c>
      <c r="C89" s="25">
        <v>83.887565609999996</v>
      </c>
      <c r="D89" s="25">
        <v>88.531188959999994</v>
      </c>
      <c r="E89" s="25">
        <v>84.924011230000005</v>
      </c>
      <c r="F89" s="25">
        <v>5.1017661089999997</v>
      </c>
      <c r="G89" s="25">
        <v>6.0615134240000001</v>
      </c>
      <c r="H89" s="25">
        <v>25108.921880000002</v>
      </c>
      <c r="I89" s="25">
        <v>25314.628909999999</v>
      </c>
      <c r="J89" s="25">
        <v>191.99775700000001</v>
      </c>
      <c r="K89" s="25">
        <v>99.683998110000005</v>
      </c>
      <c r="L89" s="25">
        <v>15.664999959999999</v>
      </c>
      <c r="M89" s="25">
        <v>0.495999992</v>
      </c>
      <c r="N89" s="25">
        <v>30.650999070000001</v>
      </c>
      <c r="O89" s="25">
        <v>1.1879999640000001</v>
      </c>
      <c r="P89" s="25">
        <v>84.728958129999995</v>
      </c>
      <c r="Q89" s="25">
        <v>83.669036869999999</v>
      </c>
      <c r="R89" s="61">
        <f t="shared" si="3"/>
        <v>198.62016334100542</v>
      </c>
      <c r="S89" s="61">
        <f t="shared" si="2"/>
        <v>191.30596909392034</v>
      </c>
      <c r="T89" s="25">
        <v>12.210958339999999</v>
      </c>
      <c r="U89" s="25">
        <v>15.809359349999999</v>
      </c>
      <c r="V89" s="25">
        <v>96.930883030000004</v>
      </c>
      <c r="W89" s="25">
        <v>95.756582550000005</v>
      </c>
      <c r="X89" s="25">
        <v>28.020317689999999</v>
      </c>
      <c r="Y89" s="25">
        <v>96.268727029999994</v>
      </c>
    </row>
    <row r="90" spans="1:25" s="25" customFormat="1" x14ac:dyDescent="0.2">
      <c r="A90" s="25">
        <v>208.9311218</v>
      </c>
      <c r="B90" s="25">
        <v>84.423896790000001</v>
      </c>
      <c r="C90" s="25">
        <v>84.032798769999999</v>
      </c>
      <c r="D90" s="25">
        <v>88.110351559999998</v>
      </c>
      <c r="E90" s="25">
        <v>85.437011720000001</v>
      </c>
      <c r="F90" s="25">
        <v>5.7629394530000004</v>
      </c>
      <c r="G90" s="25">
        <v>5.7110595699999998</v>
      </c>
      <c r="H90" s="25">
        <v>24935.95117</v>
      </c>
      <c r="I90" s="25">
        <v>25454.935549999998</v>
      </c>
      <c r="J90" s="25">
        <v>193.7903748</v>
      </c>
      <c r="K90" s="25">
        <v>99.623298649999995</v>
      </c>
      <c r="L90" s="25">
        <v>15.87899971</v>
      </c>
      <c r="M90" s="25">
        <v>0.49900001300000002</v>
      </c>
      <c r="N90" s="25">
        <v>30.486000059999999</v>
      </c>
      <c r="O90" s="25">
        <v>1.1510000229999999</v>
      </c>
      <c r="P90" s="25">
        <v>83.892662049999998</v>
      </c>
      <c r="Q90" s="25">
        <v>83.712837219999997</v>
      </c>
      <c r="R90" s="61">
        <f t="shared" si="3"/>
        <v>191.15060433049089</v>
      </c>
      <c r="S90" s="61">
        <f t="shared" si="2"/>
        <v>180.4414366104991</v>
      </c>
      <c r="T90" s="25">
        <v>11.757600269999999</v>
      </c>
      <c r="U90" s="25">
        <v>14.166561010000001</v>
      </c>
      <c r="V90" s="25">
        <v>96.953229809999996</v>
      </c>
      <c r="W90" s="25">
        <v>95.870418079999993</v>
      </c>
      <c r="X90" s="25">
        <v>25.92416128</v>
      </c>
      <c r="Y90" s="25">
        <v>96.361854730000005</v>
      </c>
    </row>
    <row r="91" spans="1:25" s="25" customFormat="1" x14ac:dyDescent="0.2">
      <c r="A91" s="25">
        <v>209.35231020000001</v>
      </c>
      <c r="B91" s="25">
        <v>84.539382930000002</v>
      </c>
      <c r="C91" s="25">
        <v>84.003028869999994</v>
      </c>
      <c r="D91" s="25">
        <v>87.872161869999999</v>
      </c>
      <c r="E91" s="25">
        <v>85.583343510000006</v>
      </c>
      <c r="F91" s="25">
        <v>5.8767294879999996</v>
      </c>
      <c r="G91" s="25">
        <v>5.3719787600000002</v>
      </c>
      <c r="H91" s="25">
        <v>24921.95508</v>
      </c>
      <c r="I91" s="25">
        <v>25317.386719999999</v>
      </c>
      <c r="J91" s="25">
        <v>192.49636839999999</v>
      </c>
      <c r="K91" s="25">
        <v>99.637802120000003</v>
      </c>
      <c r="L91" s="25">
        <v>15.38099957</v>
      </c>
      <c r="M91" s="25">
        <v>0.50199997399999996</v>
      </c>
      <c r="N91" s="25">
        <v>30.408000950000002</v>
      </c>
      <c r="O91" s="25">
        <v>1.156999946</v>
      </c>
      <c r="P91" s="25">
        <v>84.3403244</v>
      </c>
      <c r="Q91" s="25">
        <v>83.856193540000007</v>
      </c>
      <c r="R91" s="61">
        <f t="shared" si="3"/>
        <v>202.68978720664339</v>
      </c>
      <c r="S91" s="61">
        <f t="shared" si="2"/>
        <v>197.77518363571369</v>
      </c>
      <c r="T91" s="25">
        <v>12.06609076</v>
      </c>
      <c r="U91" s="25">
        <v>16.223507349999998</v>
      </c>
      <c r="V91" s="25">
        <v>96.839388099999994</v>
      </c>
      <c r="W91" s="25">
        <v>95.958690559999994</v>
      </c>
      <c r="X91" s="25">
        <v>28.28959811</v>
      </c>
      <c r="Y91" s="25">
        <v>96.334548029999993</v>
      </c>
    </row>
    <row r="92" spans="1:25" s="25" customFormat="1" x14ac:dyDescent="0.2">
      <c r="A92" s="25">
        <v>198.89016720000001</v>
      </c>
      <c r="B92" s="25">
        <v>84.764549259999995</v>
      </c>
      <c r="C92" s="25">
        <v>84.170516969999994</v>
      </c>
      <c r="D92" s="25">
        <v>88.18359375</v>
      </c>
      <c r="E92" s="25">
        <v>85.793907169999997</v>
      </c>
      <c r="F92" s="25">
        <v>5.2894387250000001</v>
      </c>
      <c r="G92" s="25">
        <v>5.3963522910000004</v>
      </c>
      <c r="H92" s="25">
        <v>23926.257809999999</v>
      </c>
      <c r="I92" s="25">
        <v>25305.521479999999</v>
      </c>
      <c r="J92" s="25">
        <v>188.94537349999999</v>
      </c>
      <c r="K92" s="25">
        <v>99.582603449999993</v>
      </c>
      <c r="L92" s="25">
        <v>15.6590004</v>
      </c>
      <c r="M92" s="25">
        <v>0.48699998900000002</v>
      </c>
      <c r="N92" s="25">
        <v>30.781999590000002</v>
      </c>
      <c r="O92" s="25">
        <v>1.1139999629999999</v>
      </c>
      <c r="P92" s="25">
        <v>84.990386959999995</v>
      </c>
      <c r="Q92" s="25">
        <v>84.628295899999998</v>
      </c>
      <c r="R92" s="61">
        <f t="shared" si="3"/>
        <v>206.44899358647416</v>
      </c>
      <c r="S92" s="61">
        <f t="shared" si="2"/>
        <v>221.77093255085404</v>
      </c>
      <c r="T92" s="25">
        <v>13.155629040000001</v>
      </c>
      <c r="U92" s="25">
        <v>20.596974899999999</v>
      </c>
      <c r="V92" s="25">
        <v>96.983773209999995</v>
      </c>
      <c r="W92" s="25">
        <v>96.202852870000001</v>
      </c>
      <c r="X92" s="25">
        <v>33.75260394</v>
      </c>
      <c r="Y92" s="25">
        <v>96.507399109999994</v>
      </c>
    </row>
    <row r="93" spans="1:25" s="25" customFormat="1" x14ac:dyDescent="0.2">
      <c r="A93" s="25">
        <v>206.36987300000001</v>
      </c>
      <c r="B93" s="25">
        <v>84.978546140000006</v>
      </c>
      <c r="C93" s="25">
        <v>84.217697139999999</v>
      </c>
      <c r="D93" s="25">
        <v>88.24782562</v>
      </c>
      <c r="E93" s="25">
        <v>85.995491029999997</v>
      </c>
      <c r="F93" s="25">
        <v>5.1859946250000002</v>
      </c>
      <c r="G93" s="25">
        <v>5.2675576209999999</v>
      </c>
      <c r="H93" s="25">
        <v>24015.935549999998</v>
      </c>
      <c r="I93" s="25">
        <v>25356.496090000001</v>
      </c>
      <c r="J93" s="25">
        <v>191.56196589999999</v>
      </c>
      <c r="K93" s="25">
        <v>99.60199738</v>
      </c>
      <c r="L93" s="25">
        <v>15.36900043</v>
      </c>
      <c r="M93" s="25">
        <v>0.48899999300000002</v>
      </c>
      <c r="N93" s="25">
        <v>30.416000369999999</v>
      </c>
      <c r="O93" s="25">
        <v>1.1549999710000001</v>
      </c>
      <c r="P93" s="25">
        <v>84.401351930000004</v>
      </c>
      <c r="Q93" s="25">
        <v>83.922218319999999</v>
      </c>
      <c r="R93" s="61">
        <f t="shared" si="3"/>
        <v>187.05108422085408</v>
      </c>
      <c r="S93" s="61">
        <f t="shared" si="2"/>
        <v>177.16135765500502</v>
      </c>
      <c r="T93" s="25">
        <v>11.28130281</v>
      </c>
      <c r="U93" s="25">
        <v>14.43985399</v>
      </c>
      <c r="V93" s="25">
        <v>96.916383030000006</v>
      </c>
      <c r="W93" s="25">
        <v>95.891968860000006</v>
      </c>
      <c r="X93" s="25">
        <v>25.721156799999999</v>
      </c>
      <c r="Y93" s="25">
        <v>96.341579429999996</v>
      </c>
    </row>
    <row r="94" spans="1:25" s="25" customFormat="1" x14ac:dyDescent="0.2">
      <c r="A94" s="25">
        <v>210.66146850000001</v>
      </c>
      <c r="B94" s="25">
        <v>83.471275329999997</v>
      </c>
      <c r="C94" s="25">
        <v>83.719284060000007</v>
      </c>
      <c r="D94" s="25">
        <v>88.201904299999995</v>
      </c>
      <c r="E94" s="25">
        <v>86.068733219999999</v>
      </c>
      <c r="F94" s="25">
        <v>5.1287841800000002</v>
      </c>
      <c r="G94" s="25">
        <v>5.4010009769999998</v>
      </c>
      <c r="H94" s="25">
        <v>24145.636719999999</v>
      </c>
      <c r="I94" s="25">
        <v>25251.966799999998</v>
      </c>
      <c r="J94" s="25">
        <v>195.2277374</v>
      </c>
      <c r="K94" s="25">
        <v>99.593200679999995</v>
      </c>
      <c r="L94" s="25">
        <v>15.99699974</v>
      </c>
      <c r="M94" s="25">
        <v>0.53100001799999996</v>
      </c>
      <c r="N94" s="25">
        <v>30.97900009</v>
      </c>
      <c r="O94" s="25">
        <v>1.1909999849999999</v>
      </c>
      <c r="P94" s="25">
        <v>82.955497739999998</v>
      </c>
      <c r="Q94" s="25">
        <v>83.489311220000005</v>
      </c>
      <c r="R94" s="61">
        <f t="shared" si="3"/>
        <v>193.39830448068858</v>
      </c>
      <c r="S94" s="61">
        <f t="shared" si="2"/>
        <v>185.70107425223506</v>
      </c>
      <c r="T94" s="25">
        <v>11.91211165</v>
      </c>
      <c r="U94" s="25">
        <v>15.00450251</v>
      </c>
      <c r="V94" s="25">
        <v>96.787269929999994</v>
      </c>
      <c r="W94" s="25">
        <v>95.90879649</v>
      </c>
      <c r="X94" s="25">
        <v>26.916614160000002</v>
      </c>
      <c r="Y94" s="25">
        <v>96.297793029999994</v>
      </c>
    </row>
    <row r="95" spans="1:25" s="25" customFormat="1" x14ac:dyDescent="0.2">
      <c r="A95" s="25">
        <v>215.6868896</v>
      </c>
      <c r="B95" s="25">
        <v>84.142639160000002</v>
      </c>
      <c r="C95" s="25">
        <v>83.825439450000005</v>
      </c>
      <c r="D95" s="25">
        <v>88.000488279999999</v>
      </c>
      <c r="E95" s="25">
        <v>85.702674869999996</v>
      </c>
      <c r="F95" s="25">
        <v>5.3501181600000001</v>
      </c>
      <c r="G95" s="25">
        <v>5.3990478519999998</v>
      </c>
      <c r="H95" s="25">
        <v>23930.386719999999</v>
      </c>
      <c r="I95" s="25">
        <v>25320.925780000001</v>
      </c>
      <c r="J95" s="25">
        <v>195.0536041</v>
      </c>
      <c r="K95" s="25">
        <v>99.602302550000005</v>
      </c>
      <c r="L95" s="25">
        <v>15.35400009</v>
      </c>
      <c r="M95" s="25">
        <v>0.50300002099999996</v>
      </c>
      <c r="N95" s="25">
        <v>30.423000340000002</v>
      </c>
      <c r="O95" s="25">
        <v>1.1799999480000001</v>
      </c>
      <c r="P95" s="25">
        <v>83.914146419999994</v>
      </c>
      <c r="Q95" s="25">
        <v>83.996978760000005</v>
      </c>
      <c r="R95" s="61">
        <f t="shared" si="3"/>
        <v>208.03919857131066</v>
      </c>
      <c r="S95" s="61">
        <f t="shared" si="2"/>
        <v>213.78064857166743</v>
      </c>
      <c r="T95" s="25">
        <v>12.00557628</v>
      </c>
      <c r="U95" s="25">
        <v>17.72404598</v>
      </c>
      <c r="V95" s="25">
        <v>96.827899239999994</v>
      </c>
      <c r="W95" s="25">
        <v>95.885269199999996</v>
      </c>
      <c r="X95" s="25">
        <v>29.729622259999999</v>
      </c>
      <c r="Y95" s="25">
        <v>96.266177459999994</v>
      </c>
    </row>
    <row r="96" spans="1:25" s="25" customFormat="1" x14ac:dyDescent="0.2">
      <c r="A96" s="25">
        <v>213.9820862</v>
      </c>
      <c r="B96" s="25">
        <v>84.021041870000005</v>
      </c>
      <c r="C96" s="25">
        <v>84.052696229999995</v>
      </c>
      <c r="D96" s="25">
        <v>88.046272279999997</v>
      </c>
      <c r="E96" s="25">
        <v>85.821533200000005</v>
      </c>
      <c r="F96" s="25">
        <v>5.4986572269999998</v>
      </c>
      <c r="G96" s="25">
        <v>5.412597656</v>
      </c>
      <c r="H96" s="25">
        <v>23867.33008</v>
      </c>
      <c r="I96" s="25">
        <v>25296.76367</v>
      </c>
      <c r="J96" s="25">
        <v>195.9659729</v>
      </c>
      <c r="K96" s="25">
        <v>99.612998959999999</v>
      </c>
      <c r="L96" s="25">
        <v>15.430999760000001</v>
      </c>
      <c r="M96" s="25">
        <v>0.50999998999999996</v>
      </c>
      <c r="N96" s="25">
        <v>30.06999969</v>
      </c>
      <c r="O96" s="25">
        <v>1.1510000229999999</v>
      </c>
      <c r="P96" s="25">
        <v>83.252624510000004</v>
      </c>
      <c r="Q96" s="25">
        <v>83.41984558</v>
      </c>
      <c r="R96" s="61">
        <f t="shared" si="3"/>
        <v>188.263025934186</v>
      </c>
      <c r="S96" s="61">
        <f t="shared" si="2"/>
        <v>167.08140660350168</v>
      </c>
      <c r="T96" s="25">
        <v>11.00806335</v>
      </c>
      <c r="U96" s="25">
        <v>12.12554212</v>
      </c>
      <c r="V96" s="25">
        <v>96.800702599999994</v>
      </c>
      <c r="W96" s="25">
        <v>95.87048437</v>
      </c>
      <c r="X96" s="25">
        <v>23.133605469999999</v>
      </c>
      <c r="Y96" s="25">
        <v>96.313378709999995</v>
      </c>
    </row>
    <row r="97" spans="1:25" s="25" customFormat="1" x14ac:dyDescent="0.2">
      <c r="A97" s="25">
        <v>215.9857178</v>
      </c>
      <c r="B97" s="25">
        <v>81.226402280000002</v>
      </c>
      <c r="C97" s="25">
        <v>81.562484740000002</v>
      </c>
      <c r="D97" s="25">
        <v>89.318847660000003</v>
      </c>
      <c r="E97" s="25">
        <v>86.251686100000001</v>
      </c>
      <c r="F97" s="25">
        <v>5.0893454550000001</v>
      </c>
      <c r="G97" s="25">
        <v>5.100585938</v>
      </c>
      <c r="H97" s="25">
        <v>25232.072270000001</v>
      </c>
      <c r="I97" s="25">
        <v>24398.384770000001</v>
      </c>
      <c r="J97" s="25">
        <v>203.51029969999999</v>
      </c>
      <c r="K97" s="25">
        <v>99.63439941</v>
      </c>
      <c r="L97" s="25">
        <v>15.760000229999999</v>
      </c>
      <c r="M97" s="25">
        <v>0.52300000199999996</v>
      </c>
      <c r="N97" s="25">
        <v>30.11000061</v>
      </c>
      <c r="O97" s="25">
        <v>1.1749999520000001</v>
      </c>
      <c r="P97" s="25">
        <v>80.508552550000005</v>
      </c>
      <c r="Q97" s="25">
        <v>81.140457150000003</v>
      </c>
      <c r="R97" s="61">
        <f t="shared" si="3"/>
        <v>191.95916474598229</v>
      </c>
      <c r="S97" s="61">
        <f t="shared" si="2"/>
        <v>177.83382923684411</v>
      </c>
      <c r="T97" s="25">
        <v>11.35635942</v>
      </c>
      <c r="U97" s="25">
        <v>13.08431472</v>
      </c>
      <c r="V97" s="25">
        <v>96.788061200000001</v>
      </c>
      <c r="W97" s="25">
        <v>95.771613669999994</v>
      </c>
      <c r="X97" s="25">
        <v>24.440674130000001</v>
      </c>
      <c r="Y97" s="25">
        <v>96.24420671</v>
      </c>
    </row>
    <row r="98" spans="1:25" s="25" customFormat="1" x14ac:dyDescent="0.2">
      <c r="A98" s="25">
        <v>203.92135619999999</v>
      </c>
      <c r="B98" s="25">
        <v>84.460067749999993</v>
      </c>
      <c r="C98" s="25">
        <v>85.341735839999998</v>
      </c>
      <c r="D98" s="25">
        <v>89.135742190000002</v>
      </c>
      <c r="E98" s="25">
        <v>86.242675779999999</v>
      </c>
      <c r="F98" s="25">
        <v>4.855957031</v>
      </c>
      <c r="G98" s="25">
        <v>4.760742188</v>
      </c>
      <c r="H98" s="25">
        <v>25924.386719999999</v>
      </c>
      <c r="I98" s="25">
        <v>24698.17383</v>
      </c>
      <c r="J98" s="25">
        <v>186.4013367</v>
      </c>
      <c r="K98" s="25">
        <v>99.659301760000005</v>
      </c>
      <c r="L98" s="25">
        <v>16.73500061</v>
      </c>
      <c r="M98" s="25">
        <v>0.555999994</v>
      </c>
      <c r="N98" s="25">
        <v>31.555999759999999</v>
      </c>
      <c r="O98" s="25">
        <v>1.1590000389999999</v>
      </c>
      <c r="P98" s="25">
        <v>84.389068600000002</v>
      </c>
      <c r="Q98" s="25">
        <v>85.688697809999994</v>
      </c>
      <c r="R98" s="61">
        <f t="shared" si="3"/>
        <v>201.54500252460755</v>
      </c>
      <c r="S98" s="61">
        <f t="shared" si="2"/>
        <v>213.15787891300073</v>
      </c>
      <c r="T98" s="25">
        <v>13.40737118</v>
      </c>
      <c r="U98" s="25">
        <v>19.023339400000001</v>
      </c>
      <c r="V98" s="25">
        <v>96.784454490000002</v>
      </c>
      <c r="W98" s="25">
        <v>96.226545790000003</v>
      </c>
      <c r="X98" s="25">
        <v>32.430710580000003</v>
      </c>
      <c r="Y98" s="25">
        <v>96.457282449999994</v>
      </c>
    </row>
    <row r="99" spans="1:25" s="25" customFormat="1" x14ac:dyDescent="0.2">
      <c r="A99" s="25">
        <v>200.37002559999999</v>
      </c>
      <c r="B99" s="25">
        <v>81.826339719999993</v>
      </c>
      <c r="C99" s="25">
        <v>81.987670899999998</v>
      </c>
      <c r="D99" s="25">
        <v>87.954704280000001</v>
      </c>
      <c r="E99" s="25">
        <v>85.849006650000007</v>
      </c>
      <c r="F99" s="25">
        <v>5.6414794920000002</v>
      </c>
      <c r="G99" s="25">
        <v>5.1824951170000002</v>
      </c>
      <c r="H99" s="25">
        <v>25436.677729999999</v>
      </c>
      <c r="I99" s="25">
        <v>24646.660159999999</v>
      </c>
      <c r="J99" s="25">
        <v>183.16964719999999</v>
      </c>
      <c r="K99" s="25">
        <v>99.632102970000005</v>
      </c>
      <c r="L99" s="25">
        <v>16.771999359999999</v>
      </c>
      <c r="M99" s="25">
        <v>0.55299997300000003</v>
      </c>
      <c r="N99" s="25">
        <v>32.064998629999998</v>
      </c>
      <c r="O99" s="25">
        <v>1.2810000180000001</v>
      </c>
      <c r="P99" s="25">
        <v>81.722755430000007</v>
      </c>
      <c r="Q99" s="25">
        <v>81.947906489999994</v>
      </c>
      <c r="R99" s="61">
        <f t="shared" si="3"/>
        <v>196.90304172407454</v>
      </c>
      <c r="S99" s="61">
        <f t="shared" si="2"/>
        <v>195.5721201306001</v>
      </c>
      <c r="T99" s="25">
        <v>13.36022009</v>
      </c>
      <c r="U99" s="25">
        <v>17.52560162</v>
      </c>
      <c r="V99" s="25">
        <v>96.808080840000002</v>
      </c>
      <c r="W99" s="25">
        <v>95.662572359999999</v>
      </c>
      <c r="X99" s="25">
        <v>30.885821709999998</v>
      </c>
      <c r="Y99" s="25">
        <v>96.158459570000005</v>
      </c>
    </row>
    <row r="100" spans="1:25" s="25" customFormat="1" x14ac:dyDescent="0.2">
      <c r="A100" s="25">
        <v>202.4644318</v>
      </c>
      <c r="B100" s="25">
        <v>83.415870670000004</v>
      </c>
      <c r="C100" s="25">
        <v>83.905250550000005</v>
      </c>
      <c r="D100" s="25">
        <v>88.082588200000004</v>
      </c>
      <c r="E100" s="25">
        <v>85.629432679999994</v>
      </c>
      <c r="F100" s="25">
        <v>5.8205871580000004</v>
      </c>
      <c r="G100" s="25">
        <v>5.2570290569999996</v>
      </c>
      <c r="H100" s="25">
        <v>25518.558590000001</v>
      </c>
      <c r="I100" s="25">
        <v>24482.123049999998</v>
      </c>
      <c r="J100" s="25">
        <v>186.02180480000001</v>
      </c>
      <c r="K100" s="25">
        <v>99.630096440000003</v>
      </c>
      <c r="L100" s="25">
        <v>16.350999829999999</v>
      </c>
      <c r="M100" s="25">
        <v>0.545000017</v>
      </c>
      <c r="N100" s="25">
        <v>32.292999270000003</v>
      </c>
      <c r="O100" s="25">
        <v>1.3289999960000001</v>
      </c>
      <c r="P100" s="25">
        <v>82.928985600000004</v>
      </c>
      <c r="Q100" s="25">
        <v>83.754562379999996</v>
      </c>
      <c r="R100" s="61">
        <f t="shared" si="3"/>
        <v>186.16830535921389</v>
      </c>
      <c r="S100" s="61">
        <f t="shared" si="2"/>
        <v>181.12474657551402</v>
      </c>
      <c r="T100" s="25">
        <v>12.19235209</v>
      </c>
      <c r="U100" s="25">
        <v>16.35455601</v>
      </c>
      <c r="V100" s="25">
        <v>96.774384339999997</v>
      </c>
      <c r="W100" s="25">
        <v>95.504330699999997</v>
      </c>
      <c r="X100" s="25">
        <v>28.5469081</v>
      </c>
      <c r="Y100" s="25">
        <v>96.047230900000002</v>
      </c>
    </row>
    <row r="101" spans="1:25" s="25" customFormat="1" x14ac:dyDescent="0.2">
      <c r="A101" s="25">
        <v>200.92901610000001</v>
      </c>
      <c r="B101" s="25">
        <v>83.21378326</v>
      </c>
      <c r="C101" s="25">
        <v>82.792945860000003</v>
      </c>
      <c r="D101" s="25">
        <v>88.018341059999997</v>
      </c>
      <c r="E101" s="25">
        <v>85.391838070000006</v>
      </c>
      <c r="F101" s="25">
        <v>5.7231650350000001</v>
      </c>
      <c r="G101" s="25">
        <v>5.5604147910000004</v>
      </c>
      <c r="H101" s="25">
        <v>24926.175780000001</v>
      </c>
      <c r="I101" s="25">
        <v>24498.199219999999</v>
      </c>
      <c r="J101" s="25">
        <v>186.07798769999999</v>
      </c>
      <c r="K101" s="25">
        <v>99.627197269999996</v>
      </c>
      <c r="L101" s="25">
        <v>16.437000269999999</v>
      </c>
      <c r="M101" s="25">
        <v>0.54600000400000004</v>
      </c>
      <c r="N101" s="25">
        <v>31.392000199999998</v>
      </c>
      <c r="O101" s="25">
        <v>1.2319999930000001</v>
      </c>
      <c r="P101" s="25">
        <v>82.613334660000007</v>
      </c>
      <c r="Q101" s="25">
        <v>82.129585270000007</v>
      </c>
      <c r="R101" s="61">
        <f t="shared" si="3"/>
        <v>180.83189891628172</v>
      </c>
      <c r="S101" s="61">
        <f t="shared" si="2"/>
        <v>158.6291066834568</v>
      </c>
      <c r="T101" s="25">
        <v>11.99501027</v>
      </c>
      <c r="U101" s="25">
        <v>12.445312789999999</v>
      </c>
      <c r="V101" s="25">
        <v>96.785020340000003</v>
      </c>
      <c r="W101" s="25">
        <v>95.681871270000002</v>
      </c>
      <c r="X101" s="25">
        <v>24.440323060000001</v>
      </c>
      <c r="Y101" s="25">
        <v>96.223639079999998</v>
      </c>
    </row>
    <row r="102" spans="1:25" s="25" customFormat="1" x14ac:dyDescent="0.2">
      <c r="A102" s="25">
        <v>204.93072509999999</v>
      </c>
      <c r="B102" s="25">
        <v>82.565467830000003</v>
      </c>
      <c r="C102" s="25">
        <v>82.802261349999995</v>
      </c>
      <c r="D102" s="25">
        <v>87.908935549999995</v>
      </c>
      <c r="E102" s="25">
        <v>85.107421880000004</v>
      </c>
      <c r="F102" s="25">
        <v>5.998535156</v>
      </c>
      <c r="G102" s="25">
        <v>6.0778808590000004</v>
      </c>
      <c r="H102" s="25">
        <v>24979.632809999999</v>
      </c>
      <c r="I102" s="25">
        <v>24524.847659999999</v>
      </c>
      <c r="J102" s="25">
        <v>185.93815609999999</v>
      </c>
      <c r="K102" s="25">
        <v>99.565696720000005</v>
      </c>
      <c r="L102" s="25">
        <v>16.315999980000001</v>
      </c>
      <c r="M102" s="25">
        <v>0.56400001</v>
      </c>
      <c r="N102" s="25">
        <v>30.97900009</v>
      </c>
      <c r="O102" s="25">
        <v>1.1979999539999999</v>
      </c>
      <c r="P102" s="25">
        <v>82.39482117</v>
      </c>
      <c r="Q102" s="25">
        <v>83.25062561</v>
      </c>
      <c r="R102" s="61">
        <f t="shared" si="3"/>
        <v>199.21915224758558</v>
      </c>
      <c r="S102" s="61">
        <f t="shared" si="2"/>
        <v>214.22598059927356</v>
      </c>
      <c r="T102" s="25">
        <v>12.887914110000001</v>
      </c>
      <c r="U102" s="25">
        <v>19.048140950000001</v>
      </c>
      <c r="V102" s="25">
        <v>96.658767710000006</v>
      </c>
      <c r="W102" s="25">
        <v>96.018241610000004</v>
      </c>
      <c r="X102" s="25">
        <v>31.936055060000001</v>
      </c>
      <c r="Y102" s="25">
        <v>96.27684386</v>
      </c>
    </row>
    <row r="103" spans="1:25" s="25" customFormat="1" x14ac:dyDescent="0.2">
      <c r="A103" s="25">
        <v>207.8929138</v>
      </c>
      <c r="B103" s="25">
        <v>82.970474240000001</v>
      </c>
      <c r="C103" s="25">
        <v>82.206092830000003</v>
      </c>
      <c r="D103" s="25">
        <v>88.403320309999998</v>
      </c>
      <c r="E103" s="25">
        <v>85.025016780000001</v>
      </c>
      <c r="F103" s="25">
        <v>5.3753662110000002</v>
      </c>
      <c r="G103" s="25">
        <v>5.734863281</v>
      </c>
      <c r="H103" s="25">
        <v>25024.302729999999</v>
      </c>
      <c r="I103" s="25">
        <v>24650.595700000002</v>
      </c>
      <c r="J103" s="25">
        <v>192.1142883</v>
      </c>
      <c r="K103" s="25">
        <v>99.560997009999994</v>
      </c>
      <c r="L103" s="25">
        <v>16.028999330000001</v>
      </c>
      <c r="M103" s="25">
        <v>0.573000014</v>
      </c>
      <c r="N103" s="25">
        <v>30.068000789999999</v>
      </c>
      <c r="O103" s="25">
        <v>1.202000022</v>
      </c>
      <c r="P103" s="25">
        <v>82.529090879999998</v>
      </c>
      <c r="Q103" s="25">
        <v>81.717956540000003</v>
      </c>
      <c r="R103" s="61">
        <f t="shared" si="3"/>
        <v>193.11973736347656</v>
      </c>
      <c r="S103" s="61">
        <f t="shared" si="2"/>
        <v>176.78173237561313</v>
      </c>
      <c r="T103" s="25">
        <v>12.11462684</v>
      </c>
      <c r="U103" s="25">
        <v>13.136345840000001</v>
      </c>
      <c r="V103" s="25">
        <v>96.548608380000005</v>
      </c>
      <c r="W103" s="25">
        <v>95.793723729999996</v>
      </c>
      <c r="X103" s="25">
        <v>25.250972669999999</v>
      </c>
      <c r="Y103" s="25">
        <v>96.156060150000002</v>
      </c>
    </row>
    <row r="104" spans="1:25" s="25" customFormat="1" x14ac:dyDescent="0.2">
      <c r="A104" s="25">
        <v>208.4153748</v>
      </c>
      <c r="B104" s="25">
        <v>83.329704280000001</v>
      </c>
      <c r="C104" s="25">
        <v>83.016944890000005</v>
      </c>
      <c r="D104" s="25">
        <v>88.018951419999993</v>
      </c>
      <c r="E104" s="25">
        <v>85.400543209999995</v>
      </c>
      <c r="F104" s="25">
        <v>5.7033591269999997</v>
      </c>
      <c r="G104" s="25">
        <v>5.7086997029999997</v>
      </c>
      <c r="H104" s="25">
        <v>25027.070309999999</v>
      </c>
      <c r="I104" s="25">
        <v>24630.75</v>
      </c>
      <c r="J104" s="25">
        <v>192.25726320000001</v>
      </c>
      <c r="K104" s="25">
        <v>99.560203549999997</v>
      </c>
      <c r="L104" s="25">
        <v>15.83100033</v>
      </c>
      <c r="M104" s="25">
        <v>0.53299999200000003</v>
      </c>
      <c r="N104" s="25">
        <v>30.604999540000001</v>
      </c>
      <c r="O104" s="25">
        <v>1.210000038</v>
      </c>
      <c r="P104" s="25">
        <v>83.139305109999995</v>
      </c>
      <c r="Q104" s="25">
        <v>82.877571110000005</v>
      </c>
      <c r="R104" s="61">
        <f t="shared" si="3"/>
        <v>202.04268206464701</v>
      </c>
      <c r="S104" s="61">
        <f t="shared" si="2"/>
        <v>197.37781784646447</v>
      </c>
      <c r="T104" s="25">
        <v>12.458628879999999</v>
      </c>
      <c r="U104" s="25">
        <v>16.1525541</v>
      </c>
      <c r="V104" s="25">
        <v>96.742850270000005</v>
      </c>
      <c r="W104" s="25">
        <v>95.775082060000003</v>
      </c>
      <c r="X104" s="25">
        <v>28.611182979999999</v>
      </c>
      <c r="Y104" s="25">
        <v>96.196762359999994</v>
      </c>
    </row>
    <row r="105" spans="1:25" s="25" customFormat="1" x14ac:dyDescent="0.2">
      <c r="A105" s="25">
        <v>210.9828186</v>
      </c>
      <c r="B105" s="25">
        <v>82.600906370000004</v>
      </c>
      <c r="C105" s="25">
        <v>82.323806759999997</v>
      </c>
      <c r="D105" s="25">
        <v>88.513183589999997</v>
      </c>
      <c r="E105" s="25">
        <v>85.198974609999993</v>
      </c>
      <c r="F105" s="25">
        <v>5.3991699219999996</v>
      </c>
      <c r="G105" s="25">
        <v>5.5194091800000002</v>
      </c>
      <c r="H105" s="25">
        <v>24972.050780000001</v>
      </c>
      <c r="I105" s="25">
        <v>24801.570309999999</v>
      </c>
      <c r="J105" s="25">
        <v>191.25724790000001</v>
      </c>
      <c r="K105" s="25">
        <v>99.566001889999995</v>
      </c>
      <c r="L105" s="25">
        <v>17.533000950000002</v>
      </c>
      <c r="M105" s="25">
        <v>0.65899997899999996</v>
      </c>
      <c r="N105" s="25">
        <v>30.31999969</v>
      </c>
      <c r="O105" s="25">
        <v>1.166000009</v>
      </c>
      <c r="P105" s="25">
        <v>82.222007750000003</v>
      </c>
      <c r="Q105" s="25">
        <v>82.408920289999998</v>
      </c>
      <c r="R105" s="61">
        <f t="shared" si="3"/>
        <v>198.30101708211944</v>
      </c>
      <c r="S105" s="61">
        <f t="shared" si="2"/>
        <v>201.14978146649798</v>
      </c>
      <c r="T105" s="25">
        <v>13.43340495</v>
      </c>
      <c r="U105" s="25">
        <v>15.06687743</v>
      </c>
      <c r="V105" s="25">
        <v>96.37752888</v>
      </c>
      <c r="W105" s="25">
        <v>96.224747570000005</v>
      </c>
      <c r="X105" s="25">
        <v>28.500282380000002</v>
      </c>
      <c r="Y105" s="25">
        <v>96.296766750000003</v>
      </c>
    </row>
    <row r="106" spans="1:25" s="25" customFormat="1" x14ac:dyDescent="0.2">
      <c r="A106" s="25">
        <v>204.69177250000001</v>
      </c>
      <c r="B106" s="25">
        <v>82.64622498</v>
      </c>
      <c r="C106" s="25">
        <v>82.297958370000003</v>
      </c>
      <c r="D106" s="25">
        <v>88.357536319999994</v>
      </c>
      <c r="E106" s="25">
        <v>85.162353519999996</v>
      </c>
      <c r="F106" s="25">
        <v>5.3039550780000004</v>
      </c>
      <c r="G106" s="25">
        <v>5.5773925780000004</v>
      </c>
      <c r="H106" s="25">
        <v>25082.376950000002</v>
      </c>
      <c r="I106" s="25">
        <v>23903.835940000001</v>
      </c>
      <c r="J106" s="25">
        <v>189.62721250000001</v>
      </c>
      <c r="K106" s="25">
        <v>99.53939819</v>
      </c>
      <c r="L106" s="25">
        <v>16.372999190000002</v>
      </c>
      <c r="M106" s="25">
        <v>0.569000006</v>
      </c>
      <c r="N106" s="25">
        <v>30.356000900000002</v>
      </c>
      <c r="O106" s="25">
        <v>1.0049999949999999</v>
      </c>
      <c r="P106" s="25">
        <v>82.539916989999995</v>
      </c>
      <c r="Q106" s="25">
        <v>82.123756409999999</v>
      </c>
      <c r="R106" s="61">
        <f t="shared" si="3"/>
        <v>201.13362591993359</v>
      </c>
      <c r="S106" s="61">
        <f t="shared" si="2"/>
        <v>195.30305656936213</v>
      </c>
      <c r="T106" s="25">
        <v>13.07852138</v>
      </c>
      <c r="U106" s="25">
        <v>15.32161353</v>
      </c>
      <c r="V106" s="25">
        <v>96.641482510000003</v>
      </c>
      <c r="W106" s="25">
        <v>96.926708349999998</v>
      </c>
      <c r="X106" s="25">
        <v>28.400134909999998</v>
      </c>
      <c r="Y106" s="25">
        <v>96.795382910000001</v>
      </c>
    </row>
    <row r="107" spans="1:25" s="25" customFormat="1" x14ac:dyDescent="0.2">
      <c r="A107" s="25">
        <v>206.1947021</v>
      </c>
      <c r="B107" s="25">
        <v>83.112052919999996</v>
      </c>
      <c r="C107" s="25">
        <v>82.700241090000006</v>
      </c>
      <c r="D107" s="25">
        <v>88.476867679999998</v>
      </c>
      <c r="E107" s="25">
        <v>84.915306090000001</v>
      </c>
      <c r="F107" s="25">
        <v>5.2755942339999997</v>
      </c>
      <c r="G107" s="25">
        <v>5.6907653810000003</v>
      </c>
      <c r="H107" s="25">
        <v>24972.79883</v>
      </c>
      <c r="I107" s="25">
        <v>23913.431639999999</v>
      </c>
      <c r="J107" s="25">
        <v>189.786911</v>
      </c>
      <c r="K107" s="25">
        <v>99.545700069999995</v>
      </c>
      <c r="L107" s="25">
        <v>18.364000319999999</v>
      </c>
      <c r="M107" s="25">
        <v>0.61199998899999997</v>
      </c>
      <c r="N107" s="25">
        <v>31.0909996</v>
      </c>
      <c r="O107" s="25">
        <v>1.2680000069999999</v>
      </c>
      <c r="P107" s="25">
        <v>82.734321589999993</v>
      </c>
      <c r="Q107" s="25">
        <v>82.435157779999997</v>
      </c>
      <c r="R107" s="61">
        <f t="shared" si="3"/>
        <v>193.55196997776352</v>
      </c>
      <c r="S107" s="61">
        <f t="shared" si="2"/>
        <v>184.67958632241292</v>
      </c>
      <c r="T107" s="25">
        <v>13.99069091</v>
      </c>
      <c r="U107" s="25">
        <v>13.538511339999999</v>
      </c>
      <c r="V107" s="25">
        <v>96.774873639999996</v>
      </c>
      <c r="W107" s="25">
        <v>95.363705080000003</v>
      </c>
      <c r="X107" s="25">
        <v>27.52920224</v>
      </c>
      <c r="Y107" s="25">
        <v>96.081461039999994</v>
      </c>
    </row>
    <row r="108" spans="1:25" s="25" customFormat="1" x14ac:dyDescent="0.2">
      <c r="A108" s="25">
        <v>205.7670593</v>
      </c>
      <c r="B108" s="25">
        <v>81.884300229999994</v>
      </c>
      <c r="C108" s="25">
        <v>82.803710940000002</v>
      </c>
      <c r="D108" s="25">
        <v>87.991325380000006</v>
      </c>
      <c r="E108" s="25">
        <v>84.686279299999995</v>
      </c>
      <c r="F108" s="25">
        <v>5.6011962889999998</v>
      </c>
      <c r="G108" s="25">
        <v>5.876464844</v>
      </c>
      <c r="H108" s="25">
        <v>25050.289059999999</v>
      </c>
      <c r="I108" s="25">
        <v>23982.556639999999</v>
      </c>
      <c r="J108" s="25">
        <v>190.1496277</v>
      </c>
      <c r="K108" s="25">
        <v>99.526901249999995</v>
      </c>
      <c r="L108" s="25">
        <v>16.461999890000001</v>
      </c>
      <c r="M108" s="25">
        <v>0.583999991</v>
      </c>
      <c r="N108" s="25">
        <v>31.0909996</v>
      </c>
      <c r="O108" s="25">
        <v>1.2680000069999999</v>
      </c>
      <c r="P108" s="25">
        <v>81.741630549999996</v>
      </c>
      <c r="Q108" s="25">
        <v>82.666305539999996</v>
      </c>
      <c r="R108" s="61">
        <f t="shared" si="3"/>
        <v>200.99188074595961</v>
      </c>
      <c r="S108" s="61">
        <f t="shared" si="2"/>
        <v>196.39289854252732</v>
      </c>
      <c r="T108" s="25">
        <v>13.08349216</v>
      </c>
      <c r="U108" s="25">
        <v>16.25813454</v>
      </c>
      <c r="V108" s="25">
        <v>96.573976329999994</v>
      </c>
      <c r="W108" s="25">
        <v>95.684704190000005</v>
      </c>
      <c r="X108" s="25">
        <v>29.341626699999999</v>
      </c>
      <c r="Y108" s="25">
        <v>96.081461039999994</v>
      </c>
    </row>
    <row r="109" spans="1:25" s="25" customFormat="1" x14ac:dyDescent="0.2">
      <c r="A109" s="25">
        <v>205.50737000000001</v>
      </c>
      <c r="B109" s="25">
        <v>82.333778379999998</v>
      </c>
      <c r="C109" s="25">
        <v>82.616157529999995</v>
      </c>
      <c r="D109" s="25">
        <v>88.211357120000002</v>
      </c>
      <c r="E109" s="25">
        <v>84.924011230000005</v>
      </c>
      <c r="F109" s="25">
        <v>5.4469604489999996</v>
      </c>
      <c r="G109" s="25">
        <v>5.6050009730000001</v>
      </c>
      <c r="H109" s="25">
        <v>24887.03125</v>
      </c>
      <c r="I109" s="25">
        <v>24006.71875</v>
      </c>
      <c r="J109" s="25">
        <v>190.2441101</v>
      </c>
      <c r="K109" s="25">
        <v>99.5625</v>
      </c>
      <c r="L109" s="25">
        <v>16.509000780000001</v>
      </c>
      <c r="M109" s="25">
        <v>0.60199999800000004</v>
      </c>
      <c r="N109" s="25">
        <v>29.91200066</v>
      </c>
      <c r="O109" s="25">
        <v>1.1829999689999999</v>
      </c>
      <c r="P109" s="25">
        <v>82.245895390000001</v>
      </c>
      <c r="Q109" s="25">
        <v>82.459449770000006</v>
      </c>
      <c r="R109" s="61">
        <f t="shared" si="3"/>
        <v>202.56591131646655</v>
      </c>
      <c r="S109" s="61">
        <f t="shared" si="2"/>
        <v>197.32087582747079</v>
      </c>
      <c r="T109" s="25">
        <v>13.24965119</v>
      </c>
      <c r="U109" s="25">
        <v>15.100939670000001</v>
      </c>
      <c r="V109" s="25">
        <v>96.481795509999998</v>
      </c>
      <c r="W109" s="25">
        <v>95.944201000000007</v>
      </c>
      <c r="X109" s="25">
        <v>28.350590860000001</v>
      </c>
      <c r="Y109" s="25">
        <v>96.195530009999999</v>
      </c>
    </row>
    <row r="110" spans="1:25" s="25" customFormat="1" x14ac:dyDescent="0.2">
      <c r="A110" s="25">
        <v>209.42962650000001</v>
      </c>
      <c r="B110" s="25">
        <v>81.856040949999993</v>
      </c>
      <c r="C110" s="25">
        <v>82.697105410000006</v>
      </c>
      <c r="D110" s="25">
        <v>88.403320309999998</v>
      </c>
      <c r="E110" s="25">
        <v>85.134880069999994</v>
      </c>
      <c r="F110" s="25">
        <v>5.2404785159999996</v>
      </c>
      <c r="G110" s="25">
        <v>5.7305908199999998</v>
      </c>
      <c r="H110" s="25">
        <v>24854.748049999998</v>
      </c>
      <c r="I110" s="25">
        <v>23876.597659999999</v>
      </c>
      <c r="J110" s="25">
        <v>189.1002197</v>
      </c>
      <c r="K110" s="25">
        <v>99.549102779999998</v>
      </c>
      <c r="L110" s="25">
        <v>14.432000159999999</v>
      </c>
      <c r="M110" s="25">
        <v>0.521000028</v>
      </c>
      <c r="N110" s="25">
        <v>29.583999630000001</v>
      </c>
      <c r="O110" s="25">
        <v>1.2410000560000001</v>
      </c>
      <c r="P110" s="25">
        <v>81.069526670000002</v>
      </c>
      <c r="Q110" s="25">
        <v>82.274948120000005</v>
      </c>
      <c r="R110" s="61">
        <f t="shared" si="3"/>
        <v>183.10485923128152</v>
      </c>
      <c r="S110" s="61">
        <f t="shared" si="2"/>
        <v>168.97518264099375</v>
      </c>
      <c r="T110" s="25">
        <v>10.2712039</v>
      </c>
      <c r="U110" s="25">
        <v>13.35449972</v>
      </c>
      <c r="V110" s="25">
        <v>96.515749209999996</v>
      </c>
      <c r="W110" s="25">
        <v>95.556945549999995</v>
      </c>
      <c r="X110" s="25">
        <v>23.62570363</v>
      </c>
      <c r="Y110" s="25">
        <v>95.974046819999998</v>
      </c>
    </row>
    <row r="111" spans="1:25" s="25" customFormat="1" x14ac:dyDescent="0.2">
      <c r="A111" s="25">
        <v>198.69961549999999</v>
      </c>
      <c r="B111" s="25">
        <v>82.145278930000003</v>
      </c>
      <c r="C111" s="25">
        <v>82.793373110000005</v>
      </c>
      <c r="D111" s="25">
        <v>88.137962340000001</v>
      </c>
      <c r="E111" s="25">
        <v>84.548789979999995</v>
      </c>
      <c r="F111" s="25">
        <v>5.6576027870000001</v>
      </c>
      <c r="G111" s="25">
        <v>6.1108703609999999</v>
      </c>
      <c r="H111" s="25">
        <v>24899.630860000001</v>
      </c>
      <c r="I111" s="25">
        <v>23769.119139999999</v>
      </c>
      <c r="J111" s="25">
        <v>186.24708559999999</v>
      </c>
      <c r="K111" s="25">
        <v>99.544799800000007</v>
      </c>
      <c r="L111" s="25">
        <v>15.77000046</v>
      </c>
      <c r="M111" s="25">
        <v>0.601000011</v>
      </c>
      <c r="N111" s="25">
        <v>29.528999330000001</v>
      </c>
      <c r="O111" s="25">
        <v>1.319000006</v>
      </c>
      <c r="P111" s="25">
        <v>81.566482539999996</v>
      </c>
      <c r="Q111" s="25">
        <v>82.401168819999995</v>
      </c>
      <c r="R111" s="61">
        <f t="shared" si="3"/>
        <v>179.32720148264127</v>
      </c>
      <c r="S111" s="61">
        <f t="shared" si="2"/>
        <v>166.20005691758223</v>
      </c>
      <c r="T111" s="25">
        <v>11.610993049999999</v>
      </c>
      <c r="U111" s="25">
        <v>12.908058479999999</v>
      </c>
      <c r="V111" s="25">
        <v>96.32887427</v>
      </c>
      <c r="W111" s="25">
        <v>95.179547279999994</v>
      </c>
      <c r="X111" s="25">
        <v>24.51905154</v>
      </c>
      <c r="Y111" s="25">
        <v>95.724195949999995</v>
      </c>
    </row>
    <row r="112" spans="1:25" s="25" customFormat="1" x14ac:dyDescent="0.2">
      <c r="A112" s="25">
        <v>201.58599849999999</v>
      </c>
      <c r="B112" s="25">
        <v>81.999694820000002</v>
      </c>
      <c r="C112" s="25">
        <v>82.187873839999995</v>
      </c>
      <c r="D112" s="25">
        <v>88.256683350000003</v>
      </c>
      <c r="E112" s="25">
        <v>84.521331790000005</v>
      </c>
      <c r="F112" s="25">
        <v>5.4442749020000001</v>
      </c>
      <c r="G112" s="25">
        <v>6.0914711949999996</v>
      </c>
      <c r="H112" s="25">
        <v>25002.95508</v>
      </c>
      <c r="I112" s="25">
        <v>23599.818360000001</v>
      </c>
      <c r="J112" s="25">
        <v>185.28959660000001</v>
      </c>
      <c r="K112" s="25">
        <v>99.577796939999999</v>
      </c>
      <c r="L112" s="25">
        <v>16.864999770000001</v>
      </c>
      <c r="M112" s="25">
        <v>0.58799999999999997</v>
      </c>
      <c r="N112" s="25">
        <v>31.10899925</v>
      </c>
      <c r="O112" s="25">
        <v>1.1979999539999999</v>
      </c>
      <c r="P112" s="25">
        <v>81.892066959999994</v>
      </c>
      <c r="Q112" s="25">
        <v>82.147445680000004</v>
      </c>
      <c r="R112" s="61">
        <f t="shared" si="3"/>
        <v>197.98367564563242</v>
      </c>
      <c r="S112" s="61">
        <f t="shared" si="2"/>
        <v>196.63053822630638</v>
      </c>
      <c r="T112" s="25">
        <v>13.461288870000001</v>
      </c>
      <c r="U112" s="25">
        <v>16.454295479999999</v>
      </c>
      <c r="V112" s="25">
        <v>96.630951659999994</v>
      </c>
      <c r="W112" s="25">
        <v>96.014185229999995</v>
      </c>
      <c r="X112" s="25">
        <v>29.91558436</v>
      </c>
      <c r="Y112" s="25">
        <v>96.291825349999996</v>
      </c>
    </row>
    <row r="113" spans="1:25" s="25" customFormat="1" x14ac:dyDescent="0.2">
      <c r="A113" s="25">
        <v>199.33862300000001</v>
      </c>
      <c r="B113" s="25">
        <v>81.969673159999999</v>
      </c>
      <c r="C113" s="25">
        <v>82.275016780000001</v>
      </c>
      <c r="D113" s="25">
        <v>87.70736694</v>
      </c>
      <c r="E113" s="25">
        <v>84.457557679999994</v>
      </c>
      <c r="F113" s="25">
        <v>5.5860290529999999</v>
      </c>
      <c r="G113" s="25">
        <v>6.1527915000000002</v>
      </c>
      <c r="H113" s="25">
        <v>24293.894530000001</v>
      </c>
      <c r="I113" s="25">
        <v>23422.617190000001</v>
      </c>
      <c r="J113" s="25">
        <v>181.7327118</v>
      </c>
      <c r="K113" s="25">
        <v>99.546997070000003</v>
      </c>
      <c r="L113" s="25">
        <v>16.600000380000001</v>
      </c>
      <c r="M113" s="25">
        <v>0.54400002999999997</v>
      </c>
      <c r="N113" s="25">
        <v>31.23699951</v>
      </c>
      <c r="O113" s="25">
        <v>1.1959999800000001</v>
      </c>
      <c r="P113" s="25">
        <v>81.846221920000005</v>
      </c>
      <c r="Q113" s="25">
        <v>82.031921389999994</v>
      </c>
      <c r="R113" s="61">
        <f t="shared" si="3"/>
        <v>195.2066889147923</v>
      </c>
      <c r="S113" s="61">
        <f t="shared" si="2"/>
        <v>187.07024469683273</v>
      </c>
      <c r="T113" s="25">
        <v>13.18553335</v>
      </c>
      <c r="U113" s="25">
        <v>15.716908699999999</v>
      </c>
      <c r="V113" s="25">
        <v>96.826878109999996</v>
      </c>
      <c r="W113" s="25">
        <v>95.880301849999995</v>
      </c>
      <c r="X113" s="25">
        <v>28.902442050000001</v>
      </c>
      <c r="Y113" s="25">
        <v>96.312397869999998</v>
      </c>
    </row>
    <row r="114" spans="1:25" s="25" customFormat="1" x14ac:dyDescent="0.2">
      <c r="A114" s="25">
        <v>195.652771</v>
      </c>
      <c r="B114" s="25">
        <v>82.399780269999994</v>
      </c>
      <c r="C114" s="25">
        <v>83.028182979999997</v>
      </c>
      <c r="D114" s="25">
        <v>87.854003910000003</v>
      </c>
      <c r="E114" s="25">
        <v>84.283447269999996</v>
      </c>
      <c r="F114" s="25">
        <v>5.4302978519999998</v>
      </c>
      <c r="G114" s="25">
        <v>5.6158447269999998</v>
      </c>
      <c r="H114" s="25">
        <v>24283.808590000001</v>
      </c>
      <c r="I114" s="25">
        <v>23046.144530000001</v>
      </c>
      <c r="J114" s="25">
        <v>182.11288450000001</v>
      </c>
      <c r="K114" s="25">
        <v>99.59500122</v>
      </c>
      <c r="L114" s="25">
        <v>15.78800011</v>
      </c>
      <c r="M114" s="25">
        <v>0.640999973</v>
      </c>
      <c r="N114" s="25">
        <v>29.51499939</v>
      </c>
      <c r="O114" s="25">
        <v>1.3159999849999999</v>
      </c>
      <c r="P114" s="25">
        <v>82.089088439999998</v>
      </c>
      <c r="Q114" s="25">
        <v>83.11608124</v>
      </c>
      <c r="R114" s="61">
        <f t="shared" si="3"/>
        <v>185.25386239144655</v>
      </c>
      <c r="S114" s="61">
        <f t="shared" si="2"/>
        <v>188.19583216448794</v>
      </c>
      <c r="T114" s="25">
        <v>12.22181058</v>
      </c>
      <c r="U114" s="25">
        <v>15.94459404</v>
      </c>
      <c r="V114" s="25">
        <v>96.098362839999993</v>
      </c>
      <c r="W114" s="25">
        <v>95.450201660000005</v>
      </c>
      <c r="X114" s="25">
        <v>28.166404620000002</v>
      </c>
      <c r="Y114" s="25">
        <v>95.731568839999994</v>
      </c>
    </row>
    <row r="115" spans="1:25" s="25" customFormat="1" x14ac:dyDescent="0.2">
      <c r="A115" s="25">
        <v>197.25334169999999</v>
      </c>
      <c r="B115" s="25">
        <v>79.856185909999994</v>
      </c>
      <c r="C115" s="25">
        <v>81.172706599999998</v>
      </c>
      <c r="D115" s="25">
        <v>87.086486820000005</v>
      </c>
      <c r="E115" s="25">
        <v>84.686279299999995</v>
      </c>
      <c r="F115" s="25">
        <v>6.4437561040000002</v>
      </c>
      <c r="G115" s="25">
        <v>5.9881286620000003</v>
      </c>
      <c r="H115" s="25">
        <v>24488.683590000001</v>
      </c>
      <c r="I115" s="25">
        <v>24414.671880000002</v>
      </c>
      <c r="J115" s="25">
        <v>182.16511539999999</v>
      </c>
      <c r="K115" s="25">
        <v>99.614799500000004</v>
      </c>
      <c r="L115" s="25">
        <v>15.57800007</v>
      </c>
      <c r="M115" s="25">
        <v>0.57899999599999996</v>
      </c>
      <c r="N115" s="25">
        <v>30.18899918</v>
      </c>
      <c r="O115" s="25">
        <v>1.355000019</v>
      </c>
      <c r="P115" s="25">
        <v>79.749305730000003</v>
      </c>
      <c r="Q115" s="25">
        <v>81.016952509999996</v>
      </c>
      <c r="R115" s="61">
        <f t="shared" si="3"/>
        <v>193.67604382291819</v>
      </c>
      <c r="S115" s="61">
        <f t="shared" si="2"/>
        <v>188.46292783168516</v>
      </c>
      <c r="T115" s="25">
        <v>12.45682865</v>
      </c>
      <c r="U115" s="25">
        <v>16.16290553</v>
      </c>
      <c r="V115" s="25">
        <v>96.416413980000002</v>
      </c>
      <c r="W115" s="25">
        <v>95.154859889999997</v>
      </c>
      <c r="X115" s="25">
        <v>28.619734179999998</v>
      </c>
      <c r="Y115" s="25">
        <v>95.70441271</v>
      </c>
    </row>
    <row r="116" spans="1:25" s="25" customFormat="1" x14ac:dyDescent="0.2">
      <c r="A116" s="25">
        <v>195.4850922</v>
      </c>
      <c r="B116" s="25">
        <v>80.809288019999997</v>
      </c>
      <c r="C116" s="25">
        <v>80.882827759999998</v>
      </c>
      <c r="D116" s="25">
        <v>87.163688660000005</v>
      </c>
      <c r="E116" s="25">
        <v>84.891357420000006</v>
      </c>
      <c r="F116" s="25">
        <v>5.7254843710000003</v>
      </c>
      <c r="G116" s="25">
        <v>5.7644653320000003</v>
      </c>
      <c r="H116" s="25">
        <v>22250.851559999999</v>
      </c>
      <c r="I116" s="25">
        <v>23862.29883</v>
      </c>
      <c r="J116" s="25">
        <v>182.30485530000001</v>
      </c>
      <c r="K116" s="25">
        <v>99.544601439999994</v>
      </c>
      <c r="L116" s="25">
        <v>14.414999959999999</v>
      </c>
      <c r="M116" s="25">
        <v>0.52300000199999996</v>
      </c>
      <c r="N116" s="25">
        <v>28.975000380000001</v>
      </c>
      <c r="O116" s="25">
        <v>1.2589999439999999</v>
      </c>
      <c r="P116" s="25">
        <v>80.708602909999996</v>
      </c>
      <c r="Q116" s="25">
        <v>80.920509339999995</v>
      </c>
      <c r="R116" s="61">
        <f t="shared" si="3"/>
        <v>192.11514437378207</v>
      </c>
      <c r="S116" s="61">
        <f t="shared" si="2"/>
        <v>193.37635329146065</v>
      </c>
      <c r="T116" s="25">
        <v>11.534529729999999</v>
      </c>
      <c r="U116" s="25">
        <v>16.882065579999999</v>
      </c>
      <c r="V116" s="25">
        <v>96.498861939999998</v>
      </c>
      <c r="W116" s="25">
        <v>95.382200429999997</v>
      </c>
      <c r="X116" s="25">
        <v>28.416595310000002</v>
      </c>
      <c r="Y116" s="25">
        <v>95.835814220000003</v>
      </c>
    </row>
    <row r="117" spans="1:25" s="25" customFormat="1" x14ac:dyDescent="0.2">
      <c r="A117" s="25">
        <v>208.1736755</v>
      </c>
      <c r="B117" s="25">
        <v>79.066085819999998</v>
      </c>
      <c r="C117" s="25">
        <v>80.401939389999995</v>
      </c>
      <c r="D117" s="25">
        <v>87.707519529999999</v>
      </c>
      <c r="E117" s="25">
        <v>85.44998932</v>
      </c>
      <c r="F117" s="25">
        <v>5.736328125</v>
      </c>
      <c r="G117" s="25">
        <v>5.4251708980000002</v>
      </c>
      <c r="H117" s="25">
        <v>23137.492190000001</v>
      </c>
      <c r="I117" s="25">
        <v>23895.314450000002</v>
      </c>
      <c r="J117" s="25">
        <v>188.04359439999999</v>
      </c>
      <c r="K117" s="25">
        <v>99.542999269999996</v>
      </c>
      <c r="L117" s="25">
        <v>14.463000299999999</v>
      </c>
      <c r="M117" s="25">
        <v>0.515999973</v>
      </c>
      <c r="N117" s="25">
        <v>28.64299965</v>
      </c>
      <c r="O117" s="25">
        <v>1.2400000099999999</v>
      </c>
      <c r="P117" s="25">
        <v>78.88825989</v>
      </c>
      <c r="Q117" s="25">
        <v>80.238243100000005</v>
      </c>
      <c r="R117" s="61">
        <f t="shared" si="3"/>
        <v>202.22181125464465</v>
      </c>
      <c r="S117" s="61">
        <f t="shared" si="2"/>
        <v>196.74286847308139</v>
      </c>
      <c r="T117" s="25">
        <v>11.43201706</v>
      </c>
      <c r="U117" s="25">
        <v>15.401872409999999</v>
      </c>
      <c r="V117" s="25">
        <v>96.555177490000005</v>
      </c>
      <c r="W117" s="25">
        <v>95.326673360000001</v>
      </c>
      <c r="X117" s="25">
        <v>26.833889469999999</v>
      </c>
      <c r="Y117" s="25">
        <v>95.85048347</v>
      </c>
    </row>
    <row r="118" spans="1:25" s="25" customFormat="1" x14ac:dyDescent="0.2">
      <c r="A118" s="25">
        <v>208.78321840000001</v>
      </c>
      <c r="B118" s="25">
        <v>79.273185729999994</v>
      </c>
      <c r="C118" s="25">
        <v>79.814468379999994</v>
      </c>
      <c r="D118" s="25">
        <v>87.736511230000005</v>
      </c>
      <c r="E118" s="25">
        <v>85.015869140000007</v>
      </c>
      <c r="F118" s="25">
        <v>5.067840576</v>
      </c>
      <c r="G118" s="25">
        <v>5.8973388670000002</v>
      </c>
      <c r="H118" s="25">
        <v>21769.917969999999</v>
      </c>
      <c r="I118" s="25">
        <v>24176.859380000002</v>
      </c>
      <c r="J118" s="25">
        <v>190.03298950000001</v>
      </c>
      <c r="K118" s="25">
        <v>99.608001709999996</v>
      </c>
      <c r="L118" s="25">
        <v>13.95400047</v>
      </c>
      <c r="M118" s="25">
        <v>0.472000003</v>
      </c>
      <c r="N118" s="25">
        <v>28.64299965</v>
      </c>
      <c r="O118" s="25">
        <v>1.2400000099999999</v>
      </c>
      <c r="P118" s="25">
        <v>79.444732669999993</v>
      </c>
      <c r="Q118" s="25">
        <v>80.097312930000001</v>
      </c>
      <c r="R118" s="61">
        <f t="shared" si="3"/>
        <v>214.52492377775977</v>
      </c>
      <c r="S118" s="61">
        <f t="shared" si="2"/>
        <v>223.99177916908931</v>
      </c>
      <c r="T118" s="25">
        <v>11.635754260000001</v>
      </c>
      <c r="U118" s="25">
        <v>18.805561699999998</v>
      </c>
      <c r="V118" s="25">
        <v>96.728129850000002</v>
      </c>
      <c r="W118" s="25">
        <v>95.306544880000004</v>
      </c>
      <c r="X118" s="25">
        <v>30.44131595</v>
      </c>
      <c r="Y118" s="25">
        <v>95.85048347</v>
      </c>
    </row>
    <row r="119" spans="1:25" s="25" customFormat="1" x14ac:dyDescent="0.2">
      <c r="A119" s="25">
        <v>221.86546329999999</v>
      </c>
      <c r="B119" s="25">
        <v>79.283592220000003</v>
      </c>
      <c r="C119" s="25">
        <v>78.197807310000002</v>
      </c>
      <c r="D119" s="25">
        <v>87.760925290000003</v>
      </c>
      <c r="E119" s="25">
        <v>86.260986329999994</v>
      </c>
      <c r="F119" s="25">
        <v>6.5455932619999997</v>
      </c>
      <c r="G119" s="25">
        <v>5.268066406</v>
      </c>
      <c r="H119" s="25">
        <v>22763.03125</v>
      </c>
      <c r="I119" s="25">
        <v>23569.935549999998</v>
      </c>
      <c r="J119" s="25">
        <v>198.03765870000001</v>
      </c>
      <c r="K119" s="25">
        <v>99.604202270000002</v>
      </c>
      <c r="L119" s="25">
        <v>12.95300007</v>
      </c>
      <c r="M119" s="25">
        <v>0.402999997</v>
      </c>
      <c r="N119" s="25">
        <v>26.124000550000002</v>
      </c>
      <c r="O119" s="25">
        <v>1.0620000359999999</v>
      </c>
      <c r="P119" s="25">
        <v>78.955627440000001</v>
      </c>
      <c r="Q119" s="25">
        <v>77.968185419999998</v>
      </c>
      <c r="R119" s="61">
        <f t="shared" si="3"/>
        <v>210.88842610515516</v>
      </c>
      <c r="S119" s="61">
        <f t="shared" si="2"/>
        <v>203.20294223313513</v>
      </c>
      <c r="T119" s="25">
        <v>9.9630670640000005</v>
      </c>
      <c r="U119" s="25">
        <v>13.67333932</v>
      </c>
      <c r="V119" s="25">
        <v>96.98262957</v>
      </c>
      <c r="W119" s="25">
        <v>95.444603900000004</v>
      </c>
      <c r="X119" s="25">
        <v>23.63640638</v>
      </c>
      <c r="Y119" s="25">
        <v>96.093577530000005</v>
      </c>
    </row>
    <row r="120" spans="1:25" s="25" customFormat="1" x14ac:dyDescent="0.2">
      <c r="A120" s="25">
        <v>215.52072140000001</v>
      </c>
      <c r="B120" s="25">
        <v>76.980003359999998</v>
      </c>
      <c r="C120" s="25">
        <v>77.167510989999997</v>
      </c>
      <c r="D120" s="25">
        <v>88.542480470000001</v>
      </c>
      <c r="E120" s="25">
        <v>85.942382809999998</v>
      </c>
      <c r="F120" s="25">
        <v>5.3425903320000003</v>
      </c>
      <c r="G120" s="25">
        <v>5.793050289</v>
      </c>
      <c r="H120" s="25">
        <v>21519.447270000001</v>
      </c>
      <c r="I120" s="25">
        <v>24389.48633</v>
      </c>
      <c r="J120" s="25">
        <v>202.03892519999999</v>
      </c>
      <c r="K120" s="25">
        <v>99.584297179999993</v>
      </c>
      <c r="L120" s="25">
        <v>12.89000034</v>
      </c>
      <c r="M120" s="25">
        <v>0.30399999</v>
      </c>
      <c r="N120" s="25">
        <v>26.124000550000002</v>
      </c>
      <c r="O120" s="25">
        <v>1.0620000359999999</v>
      </c>
      <c r="P120" s="25">
        <v>77.057914729999993</v>
      </c>
      <c r="Q120" s="25">
        <v>77.224784850000006</v>
      </c>
      <c r="R120" s="61">
        <f t="shared" si="3"/>
        <v>218.1284282592282</v>
      </c>
      <c r="S120" s="61">
        <f t="shared" si="2"/>
        <v>220.04539413438235</v>
      </c>
      <c r="T120" s="25">
        <v>10.473148350000001</v>
      </c>
      <c r="U120" s="25">
        <v>15.88113491</v>
      </c>
      <c r="V120" s="25">
        <v>97.695922519999996</v>
      </c>
      <c r="W120" s="25">
        <v>95.03358059</v>
      </c>
      <c r="X120" s="25">
        <v>26.354283259999999</v>
      </c>
      <c r="Y120" s="25">
        <v>96.093577530000005</v>
      </c>
    </row>
    <row r="121" spans="1:25" s="25" customFormat="1" x14ac:dyDescent="0.2">
      <c r="A121" s="25">
        <v>219.9616699</v>
      </c>
      <c r="B121" s="25">
        <v>80.234504700000002</v>
      </c>
      <c r="C121" s="25">
        <v>78.937255859999993</v>
      </c>
      <c r="D121" s="25">
        <v>88.892204280000001</v>
      </c>
      <c r="E121" s="25">
        <v>86.960449220000001</v>
      </c>
      <c r="F121" s="25">
        <v>5.1233825680000002</v>
      </c>
      <c r="G121" s="25">
        <v>4.9667053220000001</v>
      </c>
      <c r="H121" s="25">
        <v>20071.369139999999</v>
      </c>
      <c r="I121" s="25">
        <v>24917.04492</v>
      </c>
      <c r="J121" s="25">
        <v>204.4763489</v>
      </c>
      <c r="K121" s="25">
        <v>99.60749817</v>
      </c>
      <c r="L121" s="25">
        <v>11.25300026</v>
      </c>
      <c r="M121" s="25">
        <v>0.39199999000000002</v>
      </c>
      <c r="N121" s="25">
        <v>25.726999280000001</v>
      </c>
      <c r="O121" s="25">
        <v>0.90200000999999996</v>
      </c>
      <c r="P121" s="25">
        <v>80.369705199999999</v>
      </c>
      <c r="Q121" s="25">
        <v>78.834617609999995</v>
      </c>
      <c r="R121" s="61">
        <f t="shared" si="3"/>
        <v>224.48685372388979</v>
      </c>
      <c r="S121" s="61">
        <f t="shared" si="2"/>
        <v>221.05153396832409</v>
      </c>
      <c r="T121" s="25">
        <v>9.330394579</v>
      </c>
      <c r="U121" s="25">
        <v>16.057053230000001</v>
      </c>
      <c r="V121" s="25">
        <v>96.633748550000007</v>
      </c>
      <c r="W121" s="25">
        <v>96.600492930000001</v>
      </c>
      <c r="X121" s="25">
        <v>25.3874478</v>
      </c>
      <c r="Y121" s="25">
        <v>96.61271533</v>
      </c>
    </row>
    <row r="122" spans="1:25" s="25" customFormat="1" x14ac:dyDescent="0.2">
      <c r="A122" s="25">
        <v>225.26506040000001</v>
      </c>
      <c r="B122" s="25">
        <v>79.332389829999997</v>
      </c>
      <c r="C122" s="25">
        <v>79.464942930000007</v>
      </c>
      <c r="D122" s="25">
        <v>89.201354980000005</v>
      </c>
      <c r="E122" s="25">
        <v>87.458801269999995</v>
      </c>
      <c r="F122" s="25">
        <v>5.0173702240000004</v>
      </c>
      <c r="G122" s="25">
        <v>4.3760704989999999</v>
      </c>
      <c r="H122" s="25">
        <v>22734.675780000001</v>
      </c>
      <c r="I122" s="25">
        <v>25007.208979999999</v>
      </c>
      <c r="J122" s="25">
        <v>204.05763239999999</v>
      </c>
      <c r="K122" s="25">
        <v>99.595596310000005</v>
      </c>
      <c r="L122" s="25">
        <v>13.19200039</v>
      </c>
      <c r="M122" s="25">
        <v>0.46000000800000002</v>
      </c>
      <c r="N122" s="25">
        <v>25.726999280000001</v>
      </c>
      <c r="O122" s="25">
        <v>0.90200000999999996</v>
      </c>
      <c r="P122" s="25">
        <v>78.96720886</v>
      </c>
      <c r="Q122" s="25">
        <v>79.369018550000007</v>
      </c>
      <c r="R122" s="61">
        <f t="shared" si="3"/>
        <v>213.04239097025373</v>
      </c>
      <c r="S122" s="61">
        <f t="shared" si="2"/>
        <v>209.83178559015036</v>
      </c>
      <c r="T122" s="25">
        <v>10.137680939999999</v>
      </c>
      <c r="U122" s="25">
        <v>13.39664992</v>
      </c>
      <c r="V122" s="25">
        <v>96.630530359999995</v>
      </c>
      <c r="W122" s="25">
        <v>96.599233630000001</v>
      </c>
      <c r="X122" s="25">
        <v>23.534330860000001</v>
      </c>
      <c r="Y122" s="25">
        <v>96.61271533</v>
      </c>
    </row>
    <row r="123" spans="1:25" s="25" customFormat="1" x14ac:dyDescent="0.2">
      <c r="A123" s="25">
        <v>220.7352448</v>
      </c>
      <c r="B123" s="25">
        <v>78.228370670000004</v>
      </c>
      <c r="C123" s="25">
        <v>79.073181149999996</v>
      </c>
      <c r="D123" s="25">
        <v>89.000244140000007</v>
      </c>
      <c r="E123" s="25">
        <v>86.486198430000002</v>
      </c>
      <c r="F123" s="25">
        <v>4.8922934529999997</v>
      </c>
      <c r="G123" s="25">
        <v>5.139627934</v>
      </c>
      <c r="H123" s="25">
        <v>22431.314450000002</v>
      </c>
      <c r="I123" s="25">
        <v>25495.734380000002</v>
      </c>
      <c r="J123" s="25">
        <v>204.0740356</v>
      </c>
      <c r="K123" s="25">
        <v>99.574401859999995</v>
      </c>
      <c r="L123" s="25">
        <v>13.119999890000001</v>
      </c>
      <c r="M123" s="25">
        <v>0.42300000799999998</v>
      </c>
      <c r="N123" s="25">
        <v>27.25300026</v>
      </c>
      <c r="O123" s="25">
        <v>1.161000013</v>
      </c>
      <c r="P123" s="25">
        <v>78.044929499999995</v>
      </c>
      <c r="Q123" s="25">
        <v>78.838485719999994</v>
      </c>
      <c r="R123" s="61">
        <f t="shared" si="3"/>
        <v>214.59543751290065</v>
      </c>
      <c r="S123" s="61">
        <f t="shared" si="2"/>
        <v>206.74014139064596</v>
      </c>
      <c r="T123" s="25">
        <v>10.33715761</v>
      </c>
      <c r="U123" s="25">
        <v>14.938503280000001</v>
      </c>
      <c r="V123" s="25">
        <v>96.876615139999998</v>
      </c>
      <c r="W123" s="25">
        <v>95.246594009999995</v>
      </c>
      <c r="X123" s="25">
        <v>25.27566088</v>
      </c>
      <c r="Y123" s="25">
        <v>95.913986059999999</v>
      </c>
    </row>
    <row r="124" spans="1:25" s="25" customFormat="1" x14ac:dyDescent="0.2">
      <c r="A124" s="25">
        <v>226.35749820000001</v>
      </c>
      <c r="B124" s="25">
        <v>79.447265630000004</v>
      </c>
      <c r="C124" s="25">
        <v>79.392112729999994</v>
      </c>
      <c r="D124" s="25">
        <v>89.064331050000007</v>
      </c>
      <c r="E124" s="25">
        <v>86.889030460000001</v>
      </c>
      <c r="F124" s="25">
        <v>4.7171425820000001</v>
      </c>
      <c r="G124" s="25">
        <v>4.9788413050000004</v>
      </c>
      <c r="H124" s="25">
        <v>21161.158200000002</v>
      </c>
      <c r="I124" s="25">
        <v>25022.064450000002</v>
      </c>
      <c r="J124" s="25">
        <v>206.36001590000001</v>
      </c>
      <c r="K124" s="25">
        <v>99.575698849999995</v>
      </c>
      <c r="L124" s="25">
        <v>13.03499985</v>
      </c>
      <c r="M124" s="25">
        <v>0.41899999999999998</v>
      </c>
      <c r="N124" s="25">
        <v>27.875</v>
      </c>
      <c r="O124" s="25">
        <v>1.105000019</v>
      </c>
      <c r="P124" s="25">
        <v>78.976440429999997</v>
      </c>
      <c r="Q124" s="25">
        <v>79.233757019999999</v>
      </c>
      <c r="R124" s="61">
        <f t="shared" si="3"/>
        <v>210.59889835074088</v>
      </c>
      <c r="S124" s="61">
        <f t="shared" si="2"/>
        <v>205.29870569381595</v>
      </c>
      <c r="T124" s="25">
        <v>9.8274268730000003</v>
      </c>
      <c r="U124" s="25">
        <v>15.127848739999999</v>
      </c>
      <c r="V124" s="25">
        <v>96.885684519999998</v>
      </c>
      <c r="W124" s="25">
        <v>95.732546429999999</v>
      </c>
      <c r="X124" s="25">
        <v>24.955275610000001</v>
      </c>
      <c r="Y124" s="25">
        <v>96.187025469999995</v>
      </c>
    </row>
    <row r="125" spans="1:25" s="25" customFormat="1" x14ac:dyDescent="0.2">
      <c r="A125" s="25">
        <v>226.9623718</v>
      </c>
      <c r="B125" s="25">
        <v>79.134826660000002</v>
      </c>
      <c r="C125" s="25">
        <v>79.46638489</v>
      </c>
      <c r="D125" s="25">
        <v>89.025878910000003</v>
      </c>
      <c r="E125" s="25">
        <v>87.14294434</v>
      </c>
      <c r="F125" s="25">
        <v>5.1451416019999998</v>
      </c>
      <c r="G125" s="25">
        <v>4.7411804200000001</v>
      </c>
      <c r="H125" s="25">
        <v>22132.6875</v>
      </c>
      <c r="I125" s="25">
        <v>24836.541020000001</v>
      </c>
      <c r="J125" s="25">
        <v>207.45315550000001</v>
      </c>
      <c r="K125" s="25">
        <v>99.595100400000007</v>
      </c>
      <c r="L125" s="25">
        <v>12.91899967</v>
      </c>
      <c r="M125" s="25">
        <v>0.41299998799999998</v>
      </c>
      <c r="N125" s="25">
        <v>26.79599953</v>
      </c>
      <c r="O125" s="25">
        <v>1.1390000579999999</v>
      </c>
      <c r="P125" s="25">
        <v>78.621772770000007</v>
      </c>
      <c r="Q125" s="25">
        <v>79.411376950000005</v>
      </c>
      <c r="R125" s="61">
        <f t="shared" si="3"/>
        <v>209.79037048482908</v>
      </c>
      <c r="S125" s="61">
        <f t="shared" si="2"/>
        <v>207.9492453390383</v>
      </c>
      <c r="T125" s="25">
        <v>9.6729996360000001</v>
      </c>
      <c r="U125" s="25">
        <v>14.63081745</v>
      </c>
      <c r="V125" s="25">
        <v>96.902190230000002</v>
      </c>
      <c r="W125" s="25">
        <v>95.273848920000006</v>
      </c>
      <c r="X125" s="25">
        <v>24.303817089999999</v>
      </c>
      <c r="Y125" s="25">
        <v>95.922677379999996</v>
      </c>
    </row>
    <row r="126" spans="1:25" s="25" customFormat="1" x14ac:dyDescent="0.2">
      <c r="A126" s="25">
        <v>225.36914060000001</v>
      </c>
      <c r="B126" s="25">
        <v>81.091880799999998</v>
      </c>
      <c r="C126" s="25">
        <v>79.979446409999994</v>
      </c>
      <c r="D126" s="25">
        <v>89.208984380000004</v>
      </c>
      <c r="E126" s="25">
        <v>87.344970700000005</v>
      </c>
      <c r="F126" s="25">
        <v>4.7979125979999999</v>
      </c>
      <c r="G126" s="25">
        <v>4.3067831989999998</v>
      </c>
      <c r="H126" s="25">
        <v>22308.128909999999</v>
      </c>
      <c r="I126" s="25">
        <v>24666.746090000001</v>
      </c>
      <c r="J126" s="25">
        <v>207.70628360000001</v>
      </c>
      <c r="K126" s="25">
        <v>99.598396300000005</v>
      </c>
      <c r="L126" s="25">
        <v>13</v>
      </c>
      <c r="M126" s="25">
        <v>0.42199999100000002</v>
      </c>
      <c r="N126" s="25">
        <v>27.299999239999998</v>
      </c>
      <c r="O126" s="25">
        <v>1.1840000150000001</v>
      </c>
      <c r="P126" s="25">
        <v>80.782585139999995</v>
      </c>
      <c r="Q126" s="25">
        <v>79.99763489</v>
      </c>
      <c r="R126" s="61">
        <f t="shared" si="3"/>
        <v>215.01696203977747</v>
      </c>
      <c r="S126" s="61">
        <f t="shared" si="2"/>
        <v>215.62573357151865</v>
      </c>
      <c r="T126" s="25">
        <v>10.05168469</v>
      </c>
      <c r="U126" s="25">
        <v>15.82778598</v>
      </c>
      <c r="V126" s="25">
        <v>96.855908279999994</v>
      </c>
      <c r="W126" s="25">
        <v>95.198947430000004</v>
      </c>
      <c r="X126" s="25">
        <v>25.879470680000001</v>
      </c>
      <c r="Y126" s="25">
        <v>95.843280280000002</v>
      </c>
    </row>
    <row r="127" spans="1:25" s="25" customFormat="1" x14ac:dyDescent="0.2">
      <c r="A127" s="25">
        <v>225.0596008</v>
      </c>
      <c r="B127" s="25">
        <v>79.18156433</v>
      </c>
      <c r="C127" s="25">
        <v>79.619934079999993</v>
      </c>
      <c r="D127" s="25">
        <v>89.060974119999997</v>
      </c>
      <c r="E127" s="25">
        <v>87.198638919999993</v>
      </c>
      <c r="F127" s="25">
        <v>4.8141174319999998</v>
      </c>
      <c r="G127" s="25">
        <v>4.8314208980000002</v>
      </c>
      <c r="H127" s="25">
        <v>22325.51367</v>
      </c>
      <c r="I127" s="25">
        <v>25224.671880000002</v>
      </c>
      <c r="J127" s="25">
        <v>207.7346039</v>
      </c>
      <c r="K127" s="25">
        <v>99.57330322</v>
      </c>
      <c r="L127" s="25">
        <v>12.95300007</v>
      </c>
      <c r="M127" s="25">
        <v>0.409000009</v>
      </c>
      <c r="N127" s="25">
        <v>26.790000920000001</v>
      </c>
      <c r="O127" s="25">
        <v>1.1280000210000001</v>
      </c>
      <c r="P127" s="25">
        <v>78.822387699999993</v>
      </c>
      <c r="Q127" s="25">
        <v>79.470710749999995</v>
      </c>
      <c r="R127" s="61">
        <f t="shared" si="3"/>
        <v>213.03789765544565</v>
      </c>
      <c r="S127" s="61">
        <f t="shared" si="2"/>
        <v>208.04336731670446</v>
      </c>
      <c r="T127" s="25">
        <v>9.9298178799999999</v>
      </c>
      <c r="U127" s="25">
        <v>14.57995502</v>
      </c>
      <c r="V127" s="25">
        <v>96.939080919999995</v>
      </c>
      <c r="W127" s="25">
        <v>95.291221390000004</v>
      </c>
      <c r="X127" s="25">
        <v>24.509772900000002</v>
      </c>
      <c r="Y127" s="25">
        <v>95.959596020000006</v>
      </c>
    </row>
    <row r="128" spans="1:25" s="25" customFormat="1" x14ac:dyDescent="0.2">
      <c r="A128" s="25">
        <v>225.9065094</v>
      </c>
      <c r="B128" s="25">
        <v>78.401435849999999</v>
      </c>
      <c r="C128" s="25">
        <v>79.378501889999995</v>
      </c>
      <c r="D128" s="25">
        <v>89.24377441</v>
      </c>
      <c r="E128" s="25">
        <v>87.026367190000002</v>
      </c>
      <c r="F128" s="25">
        <v>4.8298950200000004</v>
      </c>
      <c r="G128" s="25">
        <v>4.8472900389999998</v>
      </c>
      <c r="H128" s="25">
        <v>21937.003909999999</v>
      </c>
      <c r="I128" s="25">
        <v>24695.26367</v>
      </c>
      <c r="J128" s="25">
        <v>207.5106049</v>
      </c>
      <c r="K128" s="25">
        <v>99.583297729999998</v>
      </c>
      <c r="L128" s="25">
        <v>12.91300011</v>
      </c>
      <c r="M128" s="25">
        <v>0.407000005</v>
      </c>
      <c r="N128" s="25">
        <v>26.79599953</v>
      </c>
      <c r="O128" s="25">
        <v>1.164999962</v>
      </c>
      <c r="P128" s="25">
        <v>78.043792719999999</v>
      </c>
      <c r="Q128" s="25">
        <v>79.32653809</v>
      </c>
      <c r="R128" s="61">
        <f t="shared" si="3"/>
        <v>213.93613276232963</v>
      </c>
      <c r="S128" s="61">
        <f t="shared" si="2"/>
        <v>212.19689550220241</v>
      </c>
      <c r="T128" s="25">
        <v>9.9020199760000001</v>
      </c>
      <c r="U128" s="25">
        <v>15.0428975</v>
      </c>
      <c r="V128" s="25">
        <v>96.944444430000004</v>
      </c>
      <c r="W128" s="25">
        <v>95.100610500000002</v>
      </c>
      <c r="X128" s="25">
        <v>24.94491747</v>
      </c>
      <c r="Y128" s="25">
        <v>95.833482410000002</v>
      </c>
    </row>
    <row r="129" spans="1:25" s="25" customFormat="1" x14ac:dyDescent="0.2">
      <c r="A129" s="25">
        <v>222.88287349999999</v>
      </c>
      <c r="B129" s="25">
        <v>77.933105470000001</v>
      </c>
      <c r="C129" s="25">
        <v>79.688499449999995</v>
      </c>
      <c r="D129" s="25">
        <v>89.450836179999996</v>
      </c>
      <c r="E129" s="25">
        <v>87.022399899999996</v>
      </c>
      <c r="F129" s="25">
        <v>5.0124206539999996</v>
      </c>
      <c r="G129" s="25">
        <v>4.5944213869999997</v>
      </c>
      <c r="H129" s="25">
        <v>23175.880860000001</v>
      </c>
      <c r="I129" s="25">
        <v>24492.20508</v>
      </c>
      <c r="J129" s="25">
        <v>207.4760742</v>
      </c>
      <c r="K129" s="25">
        <v>99.553398130000005</v>
      </c>
      <c r="L129" s="25">
        <v>13.539999959999999</v>
      </c>
      <c r="M129" s="25">
        <v>0.414000005</v>
      </c>
      <c r="N129" s="25">
        <v>27.40600014</v>
      </c>
      <c r="O129" s="25">
        <v>1.194000006</v>
      </c>
      <c r="P129" s="25">
        <v>77.571746829999995</v>
      </c>
      <c r="Q129" s="25">
        <v>79.467391969999994</v>
      </c>
      <c r="R129" s="61">
        <f t="shared" si="3"/>
        <v>210.78813810811252</v>
      </c>
      <c r="S129" s="61">
        <f t="shared" si="2"/>
        <v>203.38763299284253</v>
      </c>
      <c r="T129" s="25">
        <v>10.361382069999999</v>
      </c>
      <c r="U129" s="25">
        <v>14.43381774</v>
      </c>
      <c r="V129" s="25">
        <v>97.033108749999997</v>
      </c>
      <c r="W129" s="25">
        <v>94.955944849999995</v>
      </c>
      <c r="X129" s="25">
        <v>24.79519981</v>
      </c>
      <c r="Y129" s="25">
        <v>95.825174829999995</v>
      </c>
    </row>
    <row r="130" spans="1:25" s="25" customFormat="1" x14ac:dyDescent="0.2">
      <c r="A130" s="25">
        <v>230.103363</v>
      </c>
      <c r="B130" s="25">
        <v>77.571784969999996</v>
      </c>
      <c r="C130" s="25">
        <v>79.531982420000006</v>
      </c>
      <c r="D130" s="25">
        <v>89.454650880000003</v>
      </c>
      <c r="E130" s="25">
        <v>86.969749449999995</v>
      </c>
      <c r="F130" s="25">
        <v>5.1506652830000004</v>
      </c>
      <c r="G130" s="25">
        <v>4.704101563</v>
      </c>
      <c r="H130" s="25">
        <v>23234.98242</v>
      </c>
      <c r="I130" s="25">
        <v>24924.478520000001</v>
      </c>
      <c r="J130" s="25">
        <v>207.42083740000001</v>
      </c>
      <c r="K130" s="25">
        <v>99.524002080000002</v>
      </c>
      <c r="L130" s="25">
        <v>13.43299961</v>
      </c>
      <c r="M130" s="25">
        <v>0.44100001500000002</v>
      </c>
      <c r="N130" s="25">
        <v>27.370000839999999</v>
      </c>
      <c r="O130" s="25">
        <v>1.1720000509999999</v>
      </c>
      <c r="P130" s="25">
        <v>77.112167360000001</v>
      </c>
      <c r="Q130" s="25">
        <v>79.410552980000006</v>
      </c>
      <c r="R130" s="61">
        <f t="shared" si="3"/>
        <v>214.71988310201948</v>
      </c>
      <c r="S130" s="61">
        <f t="shared" si="2"/>
        <v>210.65561900808484</v>
      </c>
      <c r="T130" s="25">
        <v>10.170361420000001</v>
      </c>
      <c r="U130" s="25">
        <v>14.65992054</v>
      </c>
      <c r="V130" s="25">
        <v>96.821392340000003</v>
      </c>
      <c r="W130" s="25">
        <v>95.249045710000004</v>
      </c>
      <c r="X130" s="25">
        <v>24.830281960000001</v>
      </c>
      <c r="Y130" s="25">
        <v>95.893770529999998</v>
      </c>
    </row>
    <row r="131" spans="1:25" s="25" customFormat="1" x14ac:dyDescent="0.2">
      <c r="A131" s="25">
        <v>223.0983276</v>
      </c>
      <c r="B131" s="25">
        <v>78.123580930000003</v>
      </c>
      <c r="C131" s="25">
        <v>79.309661869999999</v>
      </c>
      <c r="D131" s="25">
        <v>89.146423339999998</v>
      </c>
      <c r="E131" s="25">
        <v>86.724098209999994</v>
      </c>
      <c r="F131" s="25">
        <v>5.0343322749999997</v>
      </c>
      <c r="G131" s="25">
        <v>4.9644165039999999</v>
      </c>
      <c r="H131" s="25">
        <v>22651.050780000001</v>
      </c>
      <c r="I131" s="25">
        <v>24877.898440000001</v>
      </c>
      <c r="J131" s="25">
        <v>206.9418488</v>
      </c>
      <c r="K131" s="25">
        <v>99.611900329999997</v>
      </c>
      <c r="L131" s="25">
        <v>13.152999879999999</v>
      </c>
      <c r="M131" s="25">
        <v>0.44499999299999998</v>
      </c>
      <c r="N131" s="25">
        <v>26.76300049</v>
      </c>
      <c r="O131" s="25">
        <v>1.194000006</v>
      </c>
      <c r="P131" s="25">
        <v>77.625419620000002</v>
      </c>
      <c r="Q131" s="25">
        <v>79.316955570000005</v>
      </c>
      <c r="R131" s="61">
        <f t="shared" si="3"/>
        <v>206.42478348071194</v>
      </c>
      <c r="S131" s="61">
        <f t="shared" si="2"/>
        <v>206.66890486529505</v>
      </c>
      <c r="T131" s="25">
        <v>9.8762102840000008</v>
      </c>
      <c r="U131" s="25">
        <v>14.7170866</v>
      </c>
      <c r="V131" s="25">
        <v>96.727459940000003</v>
      </c>
      <c r="W131" s="25">
        <v>95.057913150000005</v>
      </c>
      <c r="X131" s="25">
        <v>24.593296890000001</v>
      </c>
      <c r="Y131" s="25">
        <v>95.729155539999994</v>
      </c>
    </row>
    <row r="132" spans="1:25" s="25" customFormat="1" x14ac:dyDescent="0.2">
      <c r="A132" s="25">
        <v>224.38043210000001</v>
      </c>
      <c r="B132" s="25">
        <v>81.155181880000001</v>
      </c>
      <c r="C132" s="25">
        <v>79.436019900000005</v>
      </c>
      <c r="D132" s="25">
        <v>89.066314700000007</v>
      </c>
      <c r="E132" s="25">
        <v>86.806488040000005</v>
      </c>
      <c r="F132" s="25">
        <v>5.0433349610000002</v>
      </c>
      <c r="G132" s="25">
        <v>4.715332031</v>
      </c>
      <c r="H132" s="25">
        <v>23164.707030000001</v>
      </c>
      <c r="I132" s="25">
        <v>24179.708979999999</v>
      </c>
      <c r="J132" s="25">
        <v>207.606369</v>
      </c>
      <c r="K132" s="25">
        <v>99.569801330000004</v>
      </c>
      <c r="L132" s="25">
        <v>13.45600033</v>
      </c>
      <c r="M132" s="25">
        <v>0.45300000899999998</v>
      </c>
      <c r="N132" s="25">
        <v>26.982999800000002</v>
      </c>
      <c r="O132" s="25">
        <v>1.2029999490000001</v>
      </c>
      <c r="P132" s="25">
        <v>80.744567869999997</v>
      </c>
      <c r="Q132" s="25">
        <v>79.690383909999994</v>
      </c>
      <c r="R132" s="61">
        <f t="shared" si="3"/>
        <v>210.63711106261789</v>
      </c>
      <c r="S132" s="61">
        <f t="shared" si="2"/>
        <v>219.15071791637746</v>
      </c>
      <c r="T132" s="25">
        <v>10.25347852</v>
      </c>
      <c r="U132" s="25">
        <v>15.89948427</v>
      </c>
      <c r="V132" s="25">
        <v>96.743115979999999</v>
      </c>
      <c r="W132" s="25">
        <v>95.078541599999994</v>
      </c>
      <c r="X132" s="25">
        <v>26.15296279</v>
      </c>
      <c r="Y132" s="25">
        <v>95.731923789999996</v>
      </c>
    </row>
    <row r="133" spans="1:25" s="25" customFormat="1" x14ac:dyDescent="0.2">
      <c r="A133" s="25">
        <v>225.0249939</v>
      </c>
      <c r="B133" s="25">
        <v>80.743858340000003</v>
      </c>
      <c r="C133" s="25">
        <v>79.756584169999996</v>
      </c>
      <c r="D133" s="25">
        <v>89.053337099999993</v>
      </c>
      <c r="E133" s="25">
        <v>86.946105959999997</v>
      </c>
      <c r="F133" s="25">
        <v>5.0397338869999997</v>
      </c>
      <c r="G133" s="25">
        <v>4.5291442870000003</v>
      </c>
      <c r="H133" s="25">
        <v>23302.962889999999</v>
      </c>
      <c r="I133" s="25">
        <v>24264.910159999999</v>
      </c>
      <c r="J133" s="25">
        <v>207.0231781</v>
      </c>
      <c r="K133" s="25">
        <v>99.567001340000004</v>
      </c>
      <c r="L133" s="25">
        <v>13.550999640000001</v>
      </c>
      <c r="M133" s="25">
        <v>0.50700002899999996</v>
      </c>
      <c r="N133" s="25">
        <v>27.440000529999999</v>
      </c>
      <c r="O133" s="25">
        <v>1.246000051</v>
      </c>
      <c r="P133" s="25">
        <v>80.346443179999994</v>
      </c>
      <c r="Q133" s="25">
        <v>79.602127080000002</v>
      </c>
      <c r="R133" s="61">
        <f t="shared" si="3"/>
        <v>211.72344062615372</v>
      </c>
      <c r="S133" s="61">
        <f t="shared" si="2"/>
        <v>206.55373544641637</v>
      </c>
      <c r="T133" s="25">
        <v>10.39147069</v>
      </c>
      <c r="U133" s="25">
        <v>14.626517489999999</v>
      </c>
      <c r="V133" s="25">
        <v>96.393512299999998</v>
      </c>
      <c r="W133" s="25">
        <v>95.131972709999999</v>
      </c>
      <c r="X133" s="25">
        <v>25.01798818</v>
      </c>
      <c r="Y133" s="25">
        <v>95.656417669999996</v>
      </c>
    </row>
    <row r="134" spans="1:25" s="25" customFormat="1" x14ac:dyDescent="0.2">
      <c r="A134" s="25">
        <v>227.1596375</v>
      </c>
      <c r="B134" s="25">
        <v>81.528961179999996</v>
      </c>
      <c r="C134" s="25">
        <v>79.687461850000005</v>
      </c>
      <c r="D134" s="25">
        <v>88.786003109999996</v>
      </c>
      <c r="E134" s="25">
        <v>86.394660950000002</v>
      </c>
      <c r="F134" s="25">
        <v>4.9872641560000002</v>
      </c>
      <c r="G134" s="25">
        <v>4.9851684570000003</v>
      </c>
      <c r="H134" s="25">
        <v>23351.162110000001</v>
      </c>
      <c r="I134" s="25">
        <v>24320.316409999999</v>
      </c>
      <c r="J134" s="25">
        <v>207.09573359999999</v>
      </c>
      <c r="K134" s="25">
        <v>99.539703369999998</v>
      </c>
      <c r="L134" s="25">
        <v>13.684000019999999</v>
      </c>
      <c r="M134" s="25">
        <v>0.50300002099999996</v>
      </c>
      <c r="N134" s="25">
        <v>26.834999079999999</v>
      </c>
      <c r="O134" s="25">
        <v>1.1779999729999999</v>
      </c>
      <c r="P134" s="25">
        <v>80.987701419999993</v>
      </c>
      <c r="Q134" s="25">
        <v>79.676361080000007</v>
      </c>
      <c r="R134" s="61">
        <f t="shared" si="3"/>
        <v>209.04358089906626</v>
      </c>
      <c r="S134" s="61">
        <f t="shared" ref="S134:S197" si="4">(Q134-C134)*$T$1/100+R134</f>
        <v>208.6720362314303</v>
      </c>
      <c r="T134" s="25">
        <v>10.258872569999999</v>
      </c>
      <c r="U134" s="25">
        <v>14.19353317</v>
      </c>
      <c r="V134" s="25">
        <v>96.454500460000006</v>
      </c>
      <c r="W134" s="25">
        <v>95.317360320000006</v>
      </c>
      <c r="X134" s="25">
        <v>24.45240574</v>
      </c>
      <c r="Y134" s="25">
        <v>95.794809509999993</v>
      </c>
    </row>
    <row r="135" spans="1:25" s="25" customFormat="1" x14ac:dyDescent="0.2">
      <c r="A135" s="25">
        <v>224.58169559999999</v>
      </c>
      <c r="B135" s="25">
        <v>81.612007140000003</v>
      </c>
      <c r="C135" s="25">
        <v>79.714439389999995</v>
      </c>
      <c r="D135" s="25">
        <v>88.888557430000006</v>
      </c>
      <c r="E135" s="25">
        <v>86.270133970000003</v>
      </c>
      <c r="F135" s="25">
        <v>4.9897255899999999</v>
      </c>
      <c r="G135" s="25">
        <v>4.8341064449999998</v>
      </c>
      <c r="H135" s="25">
        <v>23321.351559999999</v>
      </c>
      <c r="I135" s="25">
        <v>23780.091799999998</v>
      </c>
      <c r="J135" s="25">
        <v>206.6829529</v>
      </c>
      <c r="K135" s="25">
        <v>99.595497129999998</v>
      </c>
      <c r="L135" s="25">
        <v>13.751000400000001</v>
      </c>
      <c r="M135" s="25">
        <v>0.51499998599999997</v>
      </c>
      <c r="N135" s="25">
        <v>27.083000179999999</v>
      </c>
      <c r="O135" s="25">
        <v>1.2480000259999999</v>
      </c>
      <c r="P135" s="25">
        <v>81.549781800000005</v>
      </c>
      <c r="Q135" s="25">
        <v>79.726730349999997</v>
      </c>
      <c r="R135" s="61">
        <f t="shared" ref="R135:R198" si="5">(P135-B135)*$T$1/100+A135</f>
        <v>222.49900284365634</v>
      </c>
      <c r="S135" s="61">
        <f t="shared" si="4"/>
        <v>222.91038337384731</v>
      </c>
      <c r="T135" s="25">
        <v>11.10065863</v>
      </c>
      <c r="U135" s="25">
        <v>15.611247240000001</v>
      </c>
      <c r="V135" s="25">
        <v>96.390018420000004</v>
      </c>
      <c r="W135" s="25">
        <v>95.028669690000001</v>
      </c>
      <c r="X135" s="25">
        <v>26.711905869999999</v>
      </c>
      <c r="Y135" s="25">
        <v>95.594931290000005</v>
      </c>
    </row>
    <row r="136" spans="1:25" s="25" customFormat="1" x14ac:dyDescent="0.2">
      <c r="A136" s="25">
        <v>223.10574339999999</v>
      </c>
      <c r="B136" s="25">
        <v>81.251632689999994</v>
      </c>
      <c r="C136" s="25">
        <v>79.417800900000003</v>
      </c>
      <c r="D136" s="25">
        <v>89.088317869999997</v>
      </c>
      <c r="E136" s="25">
        <v>86.407470700000005</v>
      </c>
      <c r="F136" s="25">
        <v>4.9786987299999996</v>
      </c>
      <c r="G136" s="25">
        <v>5.0793151859999996</v>
      </c>
      <c r="H136" s="25">
        <v>23161.445309999999</v>
      </c>
      <c r="I136" s="25">
        <v>23998.880860000001</v>
      </c>
      <c r="J136" s="25">
        <v>206.99154659999999</v>
      </c>
      <c r="K136" s="25">
        <v>99.589897160000007</v>
      </c>
      <c r="L136" s="25">
        <v>13.774999619999999</v>
      </c>
      <c r="M136" s="25">
        <v>0.47299998999999998</v>
      </c>
      <c r="N136" s="25">
        <v>27.197000500000001</v>
      </c>
      <c r="O136" s="25">
        <v>1.1469999550000001</v>
      </c>
      <c r="P136" s="25">
        <v>80.773330689999995</v>
      </c>
      <c r="Q136" s="25">
        <v>79.290481569999997</v>
      </c>
      <c r="R136" s="61">
        <f t="shared" si="5"/>
        <v>207.09689377788925</v>
      </c>
      <c r="S136" s="61">
        <f t="shared" si="4"/>
        <v>202.83549405980739</v>
      </c>
      <c r="T136" s="25">
        <v>10.38452054</v>
      </c>
      <c r="U136" s="25">
        <v>14.084907810000001</v>
      </c>
      <c r="V136" s="25">
        <v>96.680235800000005</v>
      </c>
      <c r="W136" s="25">
        <v>95.416531860000006</v>
      </c>
      <c r="X136" s="25">
        <v>24.469428350000001</v>
      </c>
      <c r="Y136" s="25">
        <v>95.953288400000005</v>
      </c>
    </row>
    <row r="137" spans="1:25" s="25" customFormat="1" x14ac:dyDescent="0.2">
      <c r="A137" s="25">
        <v>224.47293089999999</v>
      </c>
      <c r="B137" s="25">
        <v>82.51152802</v>
      </c>
      <c r="C137" s="25">
        <v>79.992469790000001</v>
      </c>
      <c r="D137" s="25">
        <v>89.141242980000001</v>
      </c>
      <c r="E137" s="25">
        <v>86.347038269999999</v>
      </c>
      <c r="F137" s="25">
        <v>4.6923217770000001</v>
      </c>
      <c r="G137" s="25">
        <v>4.6705727579999996</v>
      </c>
      <c r="H137" s="25">
        <v>23363.296880000002</v>
      </c>
      <c r="I137" s="25">
        <v>23490.20508</v>
      </c>
      <c r="J137" s="25">
        <v>205.77722170000001</v>
      </c>
      <c r="K137" s="25">
        <v>99.565200809999993</v>
      </c>
      <c r="L137" s="25">
        <v>14.213999749999999</v>
      </c>
      <c r="M137" s="25">
        <v>0.323000014</v>
      </c>
      <c r="N137" s="25">
        <v>27.375</v>
      </c>
      <c r="O137" s="25">
        <v>1.154000044</v>
      </c>
      <c r="P137" s="25">
        <v>81.878219599999994</v>
      </c>
      <c r="Q137" s="25">
        <v>79.705902100000003</v>
      </c>
      <c r="R137" s="61">
        <f t="shared" si="5"/>
        <v>203.27598992923956</v>
      </c>
      <c r="S137" s="61">
        <f t="shared" si="4"/>
        <v>193.6845204062904</v>
      </c>
      <c r="T137" s="25">
        <v>10.32561409</v>
      </c>
      <c r="U137" s="25">
        <v>13.054886440000001</v>
      </c>
      <c r="V137" s="25">
        <v>97.778083379999998</v>
      </c>
      <c r="W137" s="25">
        <v>94.507513299999999</v>
      </c>
      <c r="X137" s="25">
        <v>23.380500519999998</v>
      </c>
      <c r="Y137" s="25">
        <v>95.954993020000003</v>
      </c>
    </row>
    <row r="138" spans="1:25" s="25" customFormat="1" x14ac:dyDescent="0.2">
      <c r="A138" s="25">
        <v>221.1403656</v>
      </c>
      <c r="B138" s="25">
        <v>80.51605988</v>
      </c>
      <c r="C138" s="25">
        <v>79.658035280000007</v>
      </c>
      <c r="D138" s="25">
        <v>88.952636720000001</v>
      </c>
      <c r="E138" s="25">
        <v>86.103820799999994</v>
      </c>
      <c r="F138" s="25">
        <v>4.9953613280000004</v>
      </c>
      <c r="G138" s="25">
        <v>5.3642272950000001</v>
      </c>
      <c r="H138" s="25">
        <v>24029.730469999999</v>
      </c>
      <c r="I138" s="25">
        <v>24118.20117</v>
      </c>
      <c r="J138" s="25">
        <v>205.95785520000001</v>
      </c>
      <c r="K138" s="25">
        <v>99.573196409999994</v>
      </c>
      <c r="L138" s="25">
        <v>14.52000046</v>
      </c>
      <c r="M138" s="25">
        <v>0.45600000000000002</v>
      </c>
      <c r="N138" s="25">
        <v>27.950000760000002</v>
      </c>
      <c r="O138" s="25">
        <v>0.96200001199999996</v>
      </c>
      <c r="P138" s="25">
        <v>80.320861820000005</v>
      </c>
      <c r="Q138" s="25">
        <v>79.48890686</v>
      </c>
      <c r="R138" s="61">
        <f t="shared" si="5"/>
        <v>214.60705319681605</v>
      </c>
      <c r="S138" s="61">
        <f t="shared" si="4"/>
        <v>208.94629609647924</v>
      </c>
      <c r="T138" s="25">
        <v>11.409710069999999</v>
      </c>
      <c r="U138" s="25">
        <v>14.513070559999999</v>
      </c>
      <c r="V138" s="25">
        <v>96.955128299999998</v>
      </c>
      <c r="W138" s="25">
        <v>96.450464699999998</v>
      </c>
      <c r="X138" s="25">
        <v>25.922780629999998</v>
      </c>
      <c r="Y138" s="25">
        <v>96.672661919999996</v>
      </c>
    </row>
    <row r="139" spans="1:25" s="25" customFormat="1" x14ac:dyDescent="0.2">
      <c r="A139" s="25">
        <v>224.03952029999999</v>
      </c>
      <c r="B139" s="25">
        <v>83.462005619999999</v>
      </c>
      <c r="C139" s="25">
        <v>81.376815800000003</v>
      </c>
      <c r="D139" s="25">
        <v>88.932800290000003</v>
      </c>
      <c r="E139" s="25">
        <v>86.321266170000001</v>
      </c>
      <c r="F139" s="25">
        <v>4.7416381840000001</v>
      </c>
      <c r="G139" s="25">
        <v>4.5174255370000003</v>
      </c>
      <c r="H139" s="25">
        <v>23315.744139999999</v>
      </c>
      <c r="I139" s="25">
        <v>23744.59375</v>
      </c>
      <c r="J139" s="25">
        <v>204.0245056</v>
      </c>
      <c r="K139" s="25">
        <v>99.581398010000001</v>
      </c>
      <c r="L139" s="25">
        <v>14.210000040000001</v>
      </c>
      <c r="M139" s="25">
        <v>0.48399999700000002</v>
      </c>
      <c r="N139" s="25">
        <v>27.802999499999999</v>
      </c>
      <c r="O139" s="25">
        <v>1.0240000490000001</v>
      </c>
      <c r="P139" s="25">
        <v>83.131347660000003</v>
      </c>
      <c r="Q139" s="25">
        <v>81.138862610000004</v>
      </c>
      <c r="R139" s="61">
        <f t="shared" si="5"/>
        <v>212.97234191062705</v>
      </c>
      <c r="S139" s="61">
        <f t="shared" si="4"/>
        <v>205.00800800482793</v>
      </c>
      <c r="T139" s="25">
        <v>10.968120860000001</v>
      </c>
      <c r="U139" s="25">
        <v>14.0676489</v>
      </c>
      <c r="V139" s="25">
        <v>96.706138589999995</v>
      </c>
      <c r="W139" s="25">
        <v>96.246227259999998</v>
      </c>
      <c r="X139" s="25">
        <v>25.035769760000001</v>
      </c>
      <c r="Y139" s="25">
        <v>96.447774429999996</v>
      </c>
    </row>
    <row r="140" spans="1:25" s="25" customFormat="1" x14ac:dyDescent="0.2">
      <c r="A140" s="25">
        <v>219.9212952</v>
      </c>
      <c r="B140" s="25">
        <v>84.466621399999994</v>
      </c>
      <c r="C140" s="25">
        <v>83.291496280000004</v>
      </c>
      <c r="D140" s="25">
        <v>89.115135190000004</v>
      </c>
      <c r="E140" s="25">
        <v>86.460876459999994</v>
      </c>
      <c r="F140" s="25">
        <v>4.2066345209999998</v>
      </c>
      <c r="G140" s="25">
        <v>4.8174743649999998</v>
      </c>
      <c r="H140" s="25">
        <v>21867.175780000001</v>
      </c>
      <c r="I140" s="25">
        <v>25109.060549999998</v>
      </c>
      <c r="J140" s="25">
        <v>204.51763919999999</v>
      </c>
      <c r="K140" s="25">
        <v>99.514701840000001</v>
      </c>
      <c r="L140" s="25">
        <v>14.13300037</v>
      </c>
      <c r="M140" s="25">
        <v>0.45399999600000002</v>
      </c>
      <c r="N140" s="25">
        <v>28.093000409999998</v>
      </c>
      <c r="O140" s="25">
        <v>1.2070000169999999</v>
      </c>
      <c r="P140" s="25">
        <v>83.761665339999993</v>
      </c>
      <c r="Q140" s="25">
        <v>83.059333800000005</v>
      </c>
      <c r="R140" s="61">
        <f t="shared" si="5"/>
        <v>196.32629548280102</v>
      </c>
      <c r="S140" s="61">
        <f t="shared" si="4"/>
        <v>188.55577762961141</v>
      </c>
      <c r="T140" s="25">
        <v>10.22985544</v>
      </c>
      <c r="U140" s="25">
        <v>13.644664260000001</v>
      </c>
      <c r="V140" s="25">
        <v>96.887639780000001</v>
      </c>
      <c r="W140" s="25">
        <v>95.12393557</v>
      </c>
      <c r="X140" s="25">
        <v>23.874519710000001</v>
      </c>
      <c r="Y140" s="25">
        <v>95.880546080000002</v>
      </c>
    </row>
    <row r="141" spans="1:25" s="25" customFormat="1" x14ac:dyDescent="0.2">
      <c r="A141" s="25">
        <v>219.07568359999999</v>
      </c>
      <c r="B141" s="25">
        <v>84.358833309999994</v>
      </c>
      <c r="C141" s="25">
        <v>84.152061459999999</v>
      </c>
      <c r="D141" s="25">
        <v>88.829795840000003</v>
      </c>
      <c r="E141" s="25">
        <v>85.691078189999999</v>
      </c>
      <c r="F141" s="25">
        <v>4.7989807129999997</v>
      </c>
      <c r="G141" s="25">
        <v>4.8244628909999996</v>
      </c>
      <c r="H141" s="25">
        <v>23408.29492</v>
      </c>
      <c r="I141" s="25">
        <v>24080.67383</v>
      </c>
      <c r="J141" s="25">
        <v>203.1161194</v>
      </c>
      <c r="K141" s="25">
        <v>99.530899050000002</v>
      </c>
      <c r="L141" s="25">
        <v>14.20100021</v>
      </c>
      <c r="M141" s="25">
        <v>0.46500000400000002</v>
      </c>
      <c r="N141" s="25">
        <v>27.763999940000001</v>
      </c>
      <c r="O141" s="25">
        <v>1.202000022</v>
      </c>
      <c r="P141" s="25">
        <v>83.979713439999998</v>
      </c>
      <c r="Q141" s="25">
        <v>84.05753326</v>
      </c>
      <c r="R141" s="61">
        <f t="shared" si="5"/>
        <v>206.38647680683556</v>
      </c>
      <c r="S141" s="61">
        <f t="shared" si="4"/>
        <v>203.22260180976508</v>
      </c>
      <c r="T141" s="25">
        <v>10.85300477</v>
      </c>
      <c r="U141" s="25">
        <v>14.680209489999999</v>
      </c>
      <c r="V141" s="25">
        <v>96.829401360000006</v>
      </c>
      <c r="W141" s="25">
        <v>95.125023519999999</v>
      </c>
      <c r="X141" s="25">
        <v>25.533214260000001</v>
      </c>
      <c r="Y141" s="25">
        <v>95.850307180000001</v>
      </c>
    </row>
    <row r="142" spans="1:25" s="25" customFormat="1" x14ac:dyDescent="0.2">
      <c r="A142" s="25">
        <v>218.3751068</v>
      </c>
      <c r="B142" s="25">
        <v>83.689002990000006</v>
      </c>
      <c r="C142" s="25">
        <v>83.844940190000003</v>
      </c>
      <c r="D142" s="25">
        <v>88.890838619999997</v>
      </c>
      <c r="E142" s="25">
        <v>86.149597170000007</v>
      </c>
      <c r="F142" s="25">
        <v>4.9373474120000003</v>
      </c>
      <c r="G142" s="25">
        <v>4.7944946289999999</v>
      </c>
      <c r="H142" s="25">
        <v>24396.60742</v>
      </c>
      <c r="I142" s="25">
        <v>24944.707030000001</v>
      </c>
      <c r="J142" s="25">
        <v>203.89762880000001</v>
      </c>
      <c r="K142" s="25">
        <v>99.484100339999998</v>
      </c>
      <c r="L142" s="25">
        <v>14.291000370000001</v>
      </c>
      <c r="M142" s="25">
        <v>0.405000001</v>
      </c>
      <c r="N142" s="25">
        <v>28.0340004</v>
      </c>
      <c r="O142" s="25">
        <v>1.2319999930000001</v>
      </c>
      <c r="P142" s="25">
        <v>83.464271550000007</v>
      </c>
      <c r="Q142" s="25">
        <v>83.83796692</v>
      </c>
      <c r="R142" s="61">
        <f t="shared" si="5"/>
        <v>210.85330712464761</v>
      </c>
      <c r="S142" s="61">
        <f t="shared" si="4"/>
        <v>210.61991058688605</v>
      </c>
      <c r="T142" s="25">
        <v>11.14605079</v>
      </c>
      <c r="U142" s="25">
        <v>15.690920670000001</v>
      </c>
      <c r="V142" s="25">
        <v>97.244148129999999</v>
      </c>
      <c r="W142" s="25">
        <v>94.754610470000003</v>
      </c>
      <c r="X142" s="25">
        <v>26.83697145</v>
      </c>
      <c r="Y142" s="25">
        <v>95.79033699</v>
      </c>
    </row>
    <row r="143" spans="1:25" s="25" customFormat="1" x14ac:dyDescent="0.2">
      <c r="A143" s="25">
        <v>221.69778439999999</v>
      </c>
      <c r="B143" s="25">
        <v>84.269470209999994</v>
      </c>
      <c r="C143" s="25">
        <v>84.133804319999996</v>
      </c>
      <c r="D143" s="25">
        <v>88.712768550000007</v>
      </c>
      <c r="E143" s="25">
        <v>86.041259769999996</v>
      </c>
      <c r="F143" s="25">
        <v>5.0461630819999996</v>
      </c>
      <c r="G143" s="25">
        <v>4.6891479489999996</v>
      </c>
      <c r="H143" s="25">
        <v>24116.871090000001</v>
      </c>
      <c r="I143" s="25">
        <v>24276.681639999999</v>
      </c>
      <c r="J143" s="25">
        <v>203.99118039999999</v>
      </c>
      <c r="K143" s="25">
        <v>99.45529938</v>
      </c>
      <c r="L143" s="25">
        <v>14.30200005</v>
      </c>
      <c r="M143" s="25">
        <v>0.36100000100000001</v>
      </c>
      <c r="N143" s="25">
        <v>27.778999330000001</v>
      </c>
      <c r="O143" s="25">
        <v>1.1840000150000001</v>
      </c>
      <c r="P143" s="25">
        <v>84.245925900000003</v>
      </c>
      <c r="Q143" s="25">
        <v>84.088600159999999</v>
      </c>
      <c r="R143" s="61">
        <f t="shared" si="5"/>
        <v>220.90975232351647</v>
      </c>
      <c r="S143" s="61">
        <f t="shared" si="4"/>
        <v>219.39676136856795</v>
      </c>
      <c r="T143" s="25">
        <v>11.476175639999999</v>
      </c>
      <c r="U143" s="25">
        <v>15.779074960000001</v>
      </c>
      <c r="V143" s="25">
        <v>97.538020869999997</v>
      </c>
      <c r="W143" s="25">
        <v>94.725536570000003</v>
      </c>
      <c r="X143" s="25">
        <v>27.255250610000001</v>
      </c>
      <c r="Y143" s="25">
        <v>95.912025540000002</v>
      </c>
    </row>
    <row r="144" spans="1:25" s="25" customFormat="1" x14ac:dyDescent="0.2">
      <c r="A144" s="25">
        <v>219.51026920000001</v>
      </c>
      <c r="B144" s="25">
        <v>82.704772950000006</v>
      </c>
      <c r="C144" s="25">
        <v>81.693122860000003</v>
      </c>
      <c r="D144" s="25">
        <v>89.12109375</v>
      </c>
      <c r="E144" s="25">
        <v>85.977165220000003</v>
      </c>
      <c r="F144" s="25">
        <v>4.8173217770000001</v>
      </c>
      <c r="G144" s="25">
        <v>4.7903647420000004</v>
      </c>
      <c r="H144" s="25">
        <v>23631.847659999999</v>
      </c>
      <c r="I144" s="25">
        <v>24083.958979999999</v>
      </c>
      <c r="J144" s="25">
        <v>204.8796844</v>
      </c>
      <c r="K144" s="25">
        <v>99.556800839999994</v>
      </c>
      <c r="L144" s="25">
        <v>14.20300007</v>
      </c>
      <c r="M144" s="25">
        <v>0.33800000000000002</v>
      </c>
      <c r="N144" s="25">
        <v>27.840000150000002</v>
      </c>
      <c r="O144" s="25">
        <v>1.1779999729999999</v>
      </c>
      <c r="P144" s="25">
        <v>82.138046259999996</v>
      </c>
      <c r="Q144" s="25">
        <v>81.389625550000005</v>
      </c>
      <c r="R144" s="61">
        <f t="shared" si="5"/>
        <v>200.54183010284643</v>
      </c>
      <c r="S144" s="61">
        <f t="shared" si="4"/>
        <v>190.38372330733839</v>
      </c>
      <c r="T144" s="25">
        <v>10.42202808</v>
      </c>
      <c r="U144" s="25">
        <v>13.484846190000001</v>
      </c>
      <c r="V144" s="25">
        <v>97.675538149999994</v>
      </c>
      <c r="W144" s="25">
        <v>94.594613089999996</v>
      </c>
      <c r="X144" s="25">
        <v>23.906874269999999</v>
      </c>
      <c r="Y144" s="25">
        <v>95.940450859999999</v>
      </c>
    </row>
    <row r="145" spans="1:25" s="25" customFormat="1" x14ac:dyDescent="0.2">
      <c r="A145" s="25">
        <v>223.80654910000001</v>
      </c>
      <c r="B145" s="25">
        <v>82.225105290000002</v>
      </c>
      <c r="C145" s="25">
        <v>82.065986629999998</v>
      </c>
      <c r="D145" s="25">
        <v>89.214332580000004</v>
      </c>
      <c r="E145" s="25">
        <v>86.553955079999994</v>
      </c>
      <c r="F145" s="25">
        <v>4.7290954589999998</v>
      </c>
      <c r="G145" s="25">
        <v>4.8204650879999997</v>
      </c>
      <c r="H145" s="25">
        <v>23531.078130000002</v>
      </c>
      <c r="I145" s="25">
        <v>23922.83008</v>
      </c>
      <c r="J145" s="25">
        <v>205.98634340000001</v>
      </c>
      <c r="K145" s="25">
        <v>99.528198239999995</v>
      </c>
      <c r="L145" s="25">
        <v>13.54300022</v>
      </c>
      <c r="M145" s="25">
        <v>0.32800000899999998</v>
      </c>
      <c r="N145" s="25">
        <v>26.58799934</v>
      </c>
      <c r="O145" s="25">
        <v>1.0950000289999999</v>
      </c>
      <c r="P145" s="25">
        <v>82.317024230000001</v>
      </c>
      <c r="Q145" s="25">
        <v>82.179786680000007</v>
      </c>
      <c r="R145" s="61">
        <f t="shared" si="5"/>
        <v>226.88309171927364</v>
      </c>
      <c r="S145" s="61">
        <f t="shared" si="4"/>
        <v>230.69199882699812</v>
      </c>
      <c r="T145" s="25">
        <v>11.03545366</v>
      </c>
      <c r="U145" s="25">
        <v>16.07427491</v>
      </c>
      <c r="V145" s="25">
        <v>97.635354309999997</v>
      </c>
      <c r="W145" s="25">
        <v>94.948900660000007</v>
      </c>
      <c r="X145" s="25">
        <v>27.109728560000001</v>
      </c>
      <c r="Y145" s="25">
        <v>96.044503649999996</v>
      </c>
    </row>
    <row r="146" spans="1:25" s="25" customFormat="1" x14ac:dyDescent="0.2">
      <c r="A146" s="25">
        <v>224.14395139999999</v>
      </c>
      <c r="B146" s="25">
        <v>82.635993959999993</v>
      </c>
      <c r="C146" s="25">
        <v>82.360099790000007</v>
      </c>
      <c r="D146" s="25">
        <v>89.397438050000005</v>
      </c>
      <c r="E146" s="25">
        <v>86.097717290000006</v>
      </c>
      <c r="F146" s="25">
        <v>4.6064758299999999</v>
      </c>
      <c r="G146" s="25">
        <v>4.8619079589999998</v>
      </c>
      <c r="H146" s="25">
        <v>23935.029299999998</v>
      </c>
      <c r="I146" s="25">
        <v>23737.882809999999</v>
      </c>
      <c r="J146" s="25">
        <v>206.9329224</v>
      </c>
      <c r="K146" s="25">
        <v>99.470901490000003</v>
      </c>
      <c r="L146" s="25">
        <v>13.571000099999999</v>
      </c>
      <c r="M146" s="25">
        <v>0.33000001299999998</v>
      </c>
      <c r="N146" s="25">
        <v>26.646999359999999</v>
      </c>
      <c r="O146" s="25">
        <v>1.0449999569999999</v>
      </c>
      <c r="P146" s="25">
        <v>82.300178529999997</v>
      </c>
      <c r="Q146" s="25">
        <v>82.282142640000004</v>
      </c>
      <c r="R146" s="61">
        <f t="shared" si="5"/>
        <v>212.90415160895915</v>
      </c>
      <c r="S146" s="61">
        <f t="shared" si="4"/>
        <v>210.29491248531264</v>
      </c>
      <c r="T146" s="25">
        <v>10.36838315</v>
      </c>
      <c r="U146" s="25">
        <v>14.32417296</v>
      </c>
      <c r="V146" s="25">
        <v>97.626069990000005</v>
      </c>
      <c r="W146" s="25">
        <v>95.210306070000001</v>
      </c>
      <c r="X146" s="25">
        <v>24.692556110000002</v>
      </c>
      <c r="Y146" s="25">
        <v>96.226347020000006</v>
      </c>
    </row>
    <row r="147" spans="1:25" s="25" customFormat="1" x14ac:dyDescent="0.2">
      <c r="A147" s="25">
        <v>224.9609375</v>
      </c>
      <c r="B147" s="25">
        <v>82.301864620000003</v>
      </c>
      <c r="C147" s="25">
        <v>81.612663269999999</v>
      </c>
      <c r="D147" s="25">
        <v>89.569847109999998</v>
      </c>
      <c r="E147" s="25">
        <v>86.603538510000007</v>
      </c>
      <c r="F147" s="25">
        <v>4.5959167479999996</v>
      </c>
      <c r="G147" s="25">
        <v>4.6469116210000001</v>
      </c>
      <c r="H147" s="25">
        <v>23752.332030000001</v>
      </c>
      <c r="I147" s="25">
        <v>24544.208979999999</v>
      </c>
      <c r="J147" s="25">
        <v>205.11555480000001</v>
      </c>
      <c r="K147" s="25">
        <v>99.498199459999995</v>
      </c>
      <c r="L147" s="25">
        <v>13.68599987</v>
      </c>
      <c r="M147" s="25">
        <v>0.35600000599999998</v>
      </c>
      <c r="N147" s="25">
        <v>26.990999219999999</v>
      </c>
      <c r="O147" s="25">
        <v>1.1380000109999999</v>
      </c>
      <c r="P147" s="25">
        <v>81.972526549999998</v>
      </c>
      <c r="Q147" s="25">
        <v>81.604049680000003</v>
      </c>
      <c r="R147" s="61">
        <f t="shared" si="5"/>
        <v>213.9379360543312</v>
      </c>
      <c r="S147" s="61">
        <f t="shared" si="4"/>
        <v>213.64963772604395</v>
      </c>
      <c r="T147" s="25">
        <v>10.48529027</v>
      </c>
      <c r="U147" s="25">
        <v>14.90562313</v>
      </c>
      <c r="V147" s="25">
        <v>97.464748540000002</v>
      </c>
      <c r="W147" s="25">
        <v>94.888665790000005</v>
      </c>
      <c r="X147" s="25">
        <v>25.390913399999999</v>
      </c>
      <c r="Y147" s="25">
        <v>95.954353010000005</v>
      </c>
    </row>
    <row r="148" spans="1:25" s="25" customFormat="1" x14ac:dyDescent="0.2">
      <c r="A148" s="25">
        <v>218.16891480000001</v>
      </c>
      <c r="B148" s="25">
        <v>82.234458919999994</v>
      </c>
      <c r="C148" s="25">
        <v>81.824584959999996</v>
      </c>
      <c r="D148" s="25">
        <v>89.109802250000001</v>
      </c>
      <c r="E148" s="25">
        <v>86.607360839999998</v>
      </c>
      <c r="F148" s="25">
        <v>4.9523315429999997</v>
      </c>
      <c r="G148" s="25">
        <v>4.644500732</v>
      </c>
      <c r="H148" s="25">
        <v>23751.560549999998</v>
      </c>
      <c r="I148" s="25">
        <v>23760.63867</v>
      </c>
      <c r="J148" s="25">
        <v>202.7419586</v>
      </c>
      <c r="K148" s="25">
        <v>99.484001160000005</v>
      </c>
      <c r="L148" s="25">
        <v>14.25</v>
      </c>
      <c r="M148" s="25">
        <v>0.45600000000000002</v>
      </c>
      <c r="N148" s="25">
        <v>27.902999879999999</v>
      </c>
      <c r="O148" s="25">
        <v>1.174000025</v>
      </c>
      <c r="P148" s="25">
        <v>81.882820129999999</v>
      </c>
      <c r="Q148" s="25">
        <v>81.646438599999996</v>
      </c>
      <c r="R148" s="61">
        <f t="shared" si="5"/>
        <v>206.39950444752205</v>
      </c>
      <c r="S148" s="61">
        <f t="shared" si="4"/>
        <v>200.43691535534512</v>
      </c>
      <c r="T148" s="25">
        <v>10.93278398</v>
      </c>
      <c r="U148" s="25">
        <v>14.460641949999999</v>
      </c>
      <c r="V148" s="25">
        <v>96.899224799999999</v>
      </c>
      <c r="W148" s="25">
        <v>95.252838420000003</v>
      </c>
      <c r="X148" s="25">
        <v>25.393425929999999</v>
      </c>
      <c r="Y148" s="25">
        <v>95.962444450000007</v>
      </c>
    </row>
    <row r="149" spans="1:25" s="25" customFormat="1" x14ac:dyDescent="0.2">
      <c r="A149" s="25">
        <v>220.13119510000001</v>
      </c>
      <c r="B149" s="25">
        <v>82.016334529999995</v>
      </c>
      <c r="C149" s="25">
        <v>81.431625370000006</v>
      </c>
      <c r="D149" s="25">
        <v>89.256286619999997</v>
      </c>
      <c r="E149" s="25">
        <v>86.559288019999997</v>
      </c>
      <c r="F149" s="25">
        <v>4.7540283199999998</v>
      </c>
      <c r="G149" s="25">
        <v>4.9639587399999998</v>
      </c>
      <c r="H149" s="25">
        <v>24144.886719999999</v>
      </c>
      <c r="I149" s="25">
        <v>24681.597659999999</v>
      </c>
      <c r="J149" s="25">
        <v>203.24755859999999</v>
      </c>
      <c r="K149" s="25">
        <v>99.473503109999996</v>
      </c>
      <c r="L149" s="25">
        <v>14.666000370000001</v>
      </c>
      <c r="M149" s="25">
        <v>0.39800000200000002</v>
      </c>
      <c r="N149" s="25">
        <v>26.32900047</v>
      </c>
      <c r="O149" s="25">
        <v>0.948000014</v>
      </c>
      <c r="P149" s="25">
        <v>81.988594059999997</v>
      </c>
      <c r="Q149" s="25">
        <v>81.266052250000001</v>
      </c>
      <c r="R149" s="61">
        <f t="shared" si="5"/>
        <v>219.20271683171629</v>
      </c>
      <c r="S149" s="61">
        <f t="shared" si="4"/>
        <v>213.66095622953654</v>
      </c>
      <c r="T149" s="25">
        <v>11.78250448</v>
      </c>
      <c r="U149" s="25">
        <v>13.370350869999999</v>
      </c>
      <c r="V149" s="25">
        <v>97.357939509999994</v>
      </c>
      <c r="W149" s="25">
        <v>95.788772480000006</v>
      </c>
      <c r="X149" s="25">
        <v>25.152855349999999</v>
      </c>
      <c r="Y149" s="25">
        <v>96.524544500000005</v>
      </c>
    </row>
    <row r="150" spans="1:25" s="25" customFormat="1" x14ac:dyDescent="0.2">
      <c r="A150" s="25">
        <v>208.23692320000001</v>
      </c>
      <c r="B150" s="25">
        <v>83.121139529999994</v>
      </c>
      <c r="C150" s="25">
        <v>82.699539180000002</v>
      </c>
      <c r="D150" s="25">
        <v>87.908935549999995</v>
      </c>
      <c r="E150" s="25">
        <v>85.856628420000007</v>
      </c>
      <c r="F150" s="25">
        <v>5.6730957030000004</v>
      </c>
      <c r="G150" s="25">
        <v>5.1764526369999997</v>
      </c>
      <c r="H150" s="25">
        <v>23693.697270000001</v>
      </c>
      <c r="I150" s="25">
        <v>24511.521479999999</v>
      </c>
      <c r="J150" s="25">
        <v>192.83659359999999</v>
      </c>
      <c r="K150" s="25">
        <v>99.440002440000001</v>
      </c>
      <c r="L150" s="25">
        <v>14.118000029999999</v>
      </c>
      <c r="M150" s="25">
        <v>0.407000005</v>
      </c>
      <c r="N150" s="25">
        <v>28.193000789999999</v>
      </c>
      <c r="O150" s="25">
        <v>0.96100002500000004</v>
      </c>
      <c r="P150" s="25">
        <v>83.124656680000001</v>
      </c>
      <c r="Q150" s="25">
        <v>82.546356200000005</v>
      </c>
      <c r="R150" s="61">
        <f t="shared" si="5"/>
        <v>208.35464281114218</v>
      </c>
      <c r="S150" s="61">
        <f t="shared" si="4"/>
        <v>203.2275823106911</v>
      </c>
      <c r="T150" s="25">
        <v>11.42147572</v>
      </c>
      <c r="U150" s="25">
        <v>15.61346344</v>
      </c>
      <c r="V150" s="25">
        <v>97.197934570000001</v>
      </c>
      <c r="W150" s="25">
        <v>96.341817340000006</v>
      </c>
      <c r="X150" s="25">
        <v>27.03493916</v>
      </c>
      <c r="Y150" s="25">
        <v>96.703711330000004</v>
      </c>
    </row>
    <row r="151" spans="1:25" s="25" customFormat="1" x14ac:dyDescent="0.2">
      <c r="A151" s="25">
        <v>213.98936459999999</v>
      </c>
      <c r="B151" s="25">
        <v>80.911521910000005</v>
      </c>
      <c r="C151" s="25">
        <v>81.414840699999999</v>
      </c>
      <c r="D151" s="25">
        <v>87.566535950000002</v>
      </c>
      <c r="E151" s="25">
        <v>85.391227720000003</v>
      </c>
      <c r="F151" s="25">
        <v>5.8397216800000002</v>
      </c>
      <c r="G151" s="25">
        <v>4.975667477</v>
      </c>
      <c r="H151" s="25">
        <v>23393.957030000001</v>
      </c>
      <c r="I151" s="25">
        <v>23683.20508</v>
      </c>
      <c r="J151" s="25">
        <v>192.98074339999999</v>
      </c>
      <c r="K151" s="25">
        <v>99.457702639999994</v>
      </c>
      <c r="L151" s="25">
        <v>13.96899986</v>
      </c>
      <c r="M151" s="25">
        <v>0.609000027</v>
      </c>
      <c r="N151" s="25">
        <v>28.009000780000001</v>
      </c>
      <c r="O151" s="25">
        <v>1.299000025</v>
      </c>
      <c r="P151" s="25">
        <v>81.806167599999995</v>
      </c>
      <c r="Q151" s="25">
        <v>81.87080383</v>
      </c>
      <c r="R151" s="61">
        <f t="shared" si="5"/>
        <v>243.93330862757958</v>
      </c>
      <c r="S151" s="61">
        <f t="shared" si="4"/>
        <v>259.19447245586582</v>
      </c>
      <c r="T151" s="25">
        <v>13.078539660000001</v>
      </c>
      <c r="U151" s="25">
        <v>20.690743470000001</v>
      </c>
      <c r="V151" s="25">
        <v>95.822472000000005</v>
      </c>
      <c r="W151" s="25">
        <v>95.406684310000003</v>
      </c>
      <c r="X151" s="25">
        <v>33.769283119999997</v>
      </c>
      <c r="Y151" s="25">
        <v>95.567763099999993</v>
      </c>
    </row>
    <row r="152" spans="1:25" s="25" customFormat="1" x14ac:dyDescent="0.2">
      <c r="A152" s="25">
        <v>216.3318481</v>
      </c>
      <c r="B152" s="25">
        <v>82.312622070000003</v>
      </c>
      <c r="C152" s="25">
        <v>82.693710330000002</v>
      </c>
      <c r="D152" s="25">
        <v>87.685394290000005</v>
      </c>
      <c r="E152" s="25">
        <v>85.357673649999995</v>
      </c>
      <c r="F152" s="25">
        <v>5.9810791019999998</v>
      </c>
      <c r="G152" s="25">
        <v>4.8135375979999999</v>
      </c>
      <c r="H152" s="25">
        <v>23736.089840000001</v>
      </c>
      <c r="I152" s="25">
        <v>22591.244139999999</v>
      </c>
      <c r="J152" s="25">
        <v>193.93611150000001</v>
      </c>
      <c r="K152" s="25">
        <v>99.432998659999996</v>
      </c>
      <c r="L152" s="25">
        <v>13.946999549999999</v>
      </c>
      <c r="M152" s="25">
        <v>0.53500002599999996</v>
      </c>
      <c r="N152" s="25">
        <v>27.506000520000001</v>
      </c>
      <c r="O152" s="25">
        <v>1.1430000069999999</v>
      </c>
      <c r="P152" s="25">
        <v>81.892486570000003</v>
      </c>
      <c r="Q152" s="25">
        <v>82.674270629999995</v>
      </c>
      <c r="R152" s="61">
        <f t="shared" si="5"/>
        <v>202.26984116628378</v>
      </c>
      <c r="S152" s="61">
        <f t="shared" si="4"/>
        <v>201.61919108746528</v>
      </c>
      <c r="T152" s="25">
        <v>10.653295890000001</v>
      </c>
      <c r="U152" s="25">
        <v>14.739243269999999</v>
      </c>
      <c r="V152" s="25">
        <v>96.305758580000003</v>
      </c>
      <c r="W152" s="25">
        <v>95.796675070000006</v>
      </c>
      <c r="X152" s="25">
        <v>25.392539159999998</v>
      </c>
      <c r="Y152" s="25">
        <v>96.010332000000005</v>
      </c>
    </row>
    <row r="153" spans="1:25" s="25" customFormat="1" x14ac:dyDescent="0.2">
      <c r="A153" s="25">
        <v>209.7980804</v>
      </c>
      <c r="B153" s="25">
        <v>81.848518369999994</v>
      </c>
      <c r="C153" s="25">
        <v>81.645401000000007</v>
      </c>
      <c r="D153" s="25">
        <v>87.705688480000006</v>
      </c>
      <c r="E153" s="25">
        <v>85.766601559999998</v>
      </c>
      <c r="F153" s="25">
        <v>5.5512084960000001</v>
      </c>
      <c r="G153" s="25">
        <v>4.8911538119999998</v>
      </c>
      <c r="H153" s="25">
        <v>22898.4375</v>
      </c>
      <c r="I153" s="25">
        <v>23915.101559999999</v>
      </c>
      <c r="J153" s="25">
        <v>192.95497130000001</v>
      </c>
      <c r="K153" s="25">
        <v>99.462402339999997</v>
      </c>
      <c r="L153" s="25">
        <v>14.0909996</v>
      </c>
      <c r="M153" s="25">
        <v>0.37000000500000002</v>
      </c>
      <c r="N153" s="25">
        <v>27.924999239999998</v>
      </c>
      <c r="O153" s="25">
        <v>1.0859999659999999</v>
      </c>
      <c r="P153" s="25">
        <v>81.863204960000004</v>
      </c>
      <c r="Q153" s="25">
        <v>81.634536740000001</v>
      </c>
      <c r="R153" s="61">
        <f t="shared" si="5"/>
        <v>210.28964307540542</v>
      </c>
      <c r="S153" s="61">
        <f t="shared" si="4"/>
        <v>209.92601443785927</v>
      </c>
      <c r="T153" s="25">
        <v>11.38554049</v>
      </c>
      <c r="U153" s="25">
        <v>16.20493432</v>
      </c>
      <c r="V153" s="25">
        <v>97.441393989999995</v>
      </c>
      <c r="W153" s="25">
        <v>95.422184909999999</v>
      </c>
      <c r="X153" s="25">
        <v>27.59047481</v>
      </c>
      <c r="Y153" s="25">
        <v>96.256592339999997</v>
      </c>
    </row>
    <row r="154" spans="1:25" s="25" customFormat="1" x14ac:dyDescent="0.2">
      <c r="A154" s="25">
        <v>204.11869809999999</v>
      </c>
      <c r="B154" s="25">
        <v>83.242385859999999</v>
      </c>
      <c r="C154" s="25">
        <v>82.876144409999995</v>
      </c>
      <c r="D154" s="25">
        <v>87.674560549999995</v>
      </c>
      <c r="E154" s="25">
        <v>85.859985350000002</v>
      </c>
      <c r="F154" s="25">
        <v>5.5699257849999997</v>
      </c>
      <c r="G154" s="25">
        <v>4.5520424840000002</v>
      </c>
      <c r="H154" s="25">
        <v>23065.09375</v>
      </c>
      <c r="I154" s="25">
        <v>23018.126950000002</v>
      </c>
      <c r="J154" s="25">
        <v>190.06233219999999</v>
      </c>
      <c r="K154" s="25">
        <v>99.498497009999994</v>
      </c>
      <c r="L154" s="25">
        <v>14.09899998</v>
      </c>
      <c r="M154" s="25">
        <v>0.45300000899999998</v>
      </c>
      <c r="N154" s="25">
        <v>27.98200035</v>
      </c>
      <c r="O154" s="25">
        <v>1.1510000229999999</v>
      </c>
      <c r="P154" s="25">
        <v>83.246833800000005</v>
      </c>
      <c r="Q154" s="25">
        <v>82.642639160000002</v>
      </c>
      <c r="R154" s="61">
        <f t="shared" si="5"/>
        <v>204.26757141139794</v>
      </c>
      <c r="S154" s="61">
        <f t="shared" si="4"/>
        <v>196.45211081699676</v>
      </c>
      <c r="T154" s="25">
        <v>11.44201925</v>
      </c>
      <c r="U154" s="25">
        <v>15.20438845</v>
      </c>
      <c r="V154" s="25">
        <v>96.887025769999994</v>
      </c>
      <c r="W154" s="25">
        <v>95.417530920000004</v>
      </c>
      <c r="X154" s="25">
        <v>26.646407709999998</v>
      </c>
      <c r="Y154" s="25">
        <v>96.049153849999996</v>
      </c>
    </row>
    <row r="155" spans="1:25" s="25" customFormat="1" x14ac:dyDescent="0.2">
      <c r="A155" s="25">
        <v>212.8979492</v>
      </c>
      <c r="B155" s="25">
        <v>82.510955809999999</v>
      </c>
      <c r="C155" s="25">
        <v>82.193885800000004</v>
      </c>
      <c r="D155" s="25">
        <v>87.558753969999998</v>
      </c>
      <c r="E155" s="25">
        <v>85.58502197</v>
      </c>
      <c r="F155" s="25">
        <v>5.7122192380000003</v>
      </c>
      <c r="G155" s="25">
        <v>5.2019348140000004</v>
      </c>
      <c r="H155" s="25">
        <v>23025.757809999999</v>
      </c>
      <c r="I155" s="25">
        <v>23146.681639999999</v>
      </c>
      <c r="J155" s="25">
        <v>191.0876312</v>
      </c>
      <c r="K155" s="25">
        <v>99.462196349999999</v>
      </c>
      <c r="L155" s="25">
        <v>14.03499985</v>
      </c>
      <c r="M155" s="25">
        <v>0.47900000199999998</v>
      </c>
      <c r="N155" s="25">
        <v>27.847000120000001</v>
      </c>
      <c r="O155" s="25">
        <v>1.1629999879999999</v>
      </c>
      <c r="P155" s="25">
        <v>82.215293880000004</v>
      </c>
      <c r="Q155" s="25">
        <v>82.165275570000006</v>
      </c>
      <c r="R155" s="61">
        <f t="shared" si="5"/>
        <v>203.00209391118048</v>
      </c>
      <c r="S155" s="61">
        <f t="shared" si="4"/>
        <v>202.04450462716332</v>
      </c>
      <c r="T155" s="25">
        <v>10.880107840000001</v>
      </c>
      <c r="U155" s="25">
        <v>15.29514195</v>
      </c>
      <c r="V155" s="25">
        <v>96.69973813</v>
      </c>
      <c r="W155" s="25">
        <v>95.486191660000003</v>
      </c>
      <c r="X155" s="25">
        <v>26.175249789999999</v>
      </c>
      <c r="Y155" s="25">
        <v>95.991037629999994</v>
      </c>
    </row>
    <row r="156" spans="1:25" s="25" customFormat="1" x14ac:dyDescent="0.2">
      <c r="A156" s="25">
        <v>206.30737300000001</v>
      </c>
      <c r="B156" s="25">
        <v>80.493904110000003</v>
      </c>
      <c r="C156" s="25">
        <v>81.48345947</v>
      </c>
      <c r="D156" s="25">
        <v>87.603004459999994</v>
      </c>
      <c r="E156" s="25">
        <v>85.433197019999994</v>
      </c>
      <c r="F156" s="25">
        <v>5.5570983890000001</v>
      </c>
      <c r="G156" s="25">
        <v>4.815887451</v>
      </c>
      <c r="H156" s="25">
        <v>23200.404299999998</v>
      </c>
      <c r="I156" s="25">
        <v>22762.78125</v>
      </c>
      <c r="J156" s="25">
        <v>191.1968842</v>
      </c>
      <c r="K156" s="25">
        <v>99.548698430000002</v>
      </c>
      <c r="L156" s="25">
        <v>14.899000170000001</v>
      </c>
      <c r="M156" s="25">
        <v>0.54199999600000004</v>
      </c>
      <c r="N156" s="25">
        <v>29.021999359999999</v>
      </c>
      <c r="O156" s="25">
        <v>1.1560000180000001</v>
      </c>
      <c r="P156" s="25">
        <v>81.323295590000001</v>
      </c>
      <c r="Q156" s="25">
        <v>81.663642879999998</v>
      </c>
      <c r="R156" s="61">
        <f t="shared" si="5"/>
        <v>234.06724747508034</v>
      </c>
      <c r="S156" s="61">
        <f t="shared" si="4"/>
        <v>240.09801697863477</v>
      </c>
      <c r="T156" s="25">
        <v>13.76409009</v>
      </c>
      <c r="U156" s="25">
        <v>19.59111892</v>
      </c>
      <c r="V156" s="25">
        <v>96.489864710000006</v>
      </c>
      <c r="W156" s="25">
        <v>95.944099120000004</v>
      </c>
      <c r="X156" s="25">
        <v>33.355209010000003</v>
      </c>
      <c r="Y156" s="25">
        <v>96.169394780000005</v>
      </c>
    </row>
    <row r="157" spans="1:25" s="25" customFormat="1" x14ac:dyDescent="0.2">
      <c r="A157" s="25">
        <v>209.314682</v>
      </c>
      <c r="B157" s="25">
        <v>83.27937317</v>
      </c>
      <c r="C157" s="25">
        <v>82.699813840000004</v>
      </c>
      <c r="D157" s="25">
        <v>87.809753420000007</v>
      </c>
      <c r="E157" s="25">
        <v>85.484313959999994</v>
      </c>
      <c r="F157" s="25">
        <v>5.4216918950000004</v>
      </c>
      <c r="G157" s="25">
        <v>4.8994750979999999</v>
      </c>
      <c r="H157" s="25">
        <v>22910.882809999999</v>
      </c>
      <c r="I157" s="25">
        <v>23290.648440000001</v>
      </c>
      <c r="J157" s="25">
        <v>190.95149230000001</v>
      </c>
      <c r="K157" s="25">
        <v>99.469902039999994</v>
      </c>
      <c r="L157" s="25">
        <v>14.54399967</v>
      </c>
      <c r="M157" s="25">
        <v>0.59100002100000004</v>
      </c>
      <c r="N157" s="25">
        <v>28.502000809999998</v>
      </c>
      <c r="O157" s="25">
        <v>1.4370000359999999</v>
      </c>
      <c r="P157" s="25">
        <v>82.698471069999997</v>
      </c>
      <c r="Q157" s="25">
        <v>82.483276369999999</v>
      </c>
      <c r="R157" s="61">
        <f t="shared" si="5"/>
        <v>189.87178950933844</v>
      </c>
      <c r="S157" s="61">
        <f t="shared" si="4"/>
        <v>182.62424340921254</v>
      </c>
      <c r="T157" s="25">
        <v>10.80024987</v>
      </c>
      <c r="U157" s="25">
        <v>14.05576007</v>
      </c>
      <c r="V157" s="25">
        <v>96.095143489999998</v>
      </c>
      <c r="W157" s="25">
        <v>94.51133566</v>
      </c>
      <c r="X157" s="25">
        <v>24.85600994</v>
      </c>
      <c r="Y157" s="25">
        <v>95.200240500000007</v>
      </c>
    </row>
    <row r="158" spans="1:25" s="25" customFormat="1" x14ac:dyDescent="0.2">
      <c r="A158" s="25">
        <v>198.8850861</v>
      </c>
      <c r="B158" s="25">
        <v>82.877182009999999</v>
      </c>
      <c r="C158" s="25">
        <v>82.153198239999995</v>
      </c>
      <c r="D158" s="25">
        <v>87.48046875</v>
      </c>
      <c r="E158" s="25">
        <v>85.396728519999996</v>
      </c>
      <c r="F158" s="25">
        <v>5.4023032190000002</v>
      </c>
      <c r="G158" s="25">
        <v>5.0866494180000004</v>
      </c>
      <c r="H158" s="25">
        <v>22850.67383</v>
      </c>
      <c r="I158" s="25">
        <v>23067.574219999999</v>
      </c>
      <c r="J158" s="25">
        <v>186.06199649999999</v>
      </c>
      <c r="K158" s="25">
        <v>99.593299869999996</v>
      </c>
      <c r="L158" s="25">
        <v>14.95600033</v>
      </c>
      <c r="M158" s="25">
        <v>0.58200001700000004</v>
      </c>
      <c r="N158" s="25">
        <v>29.347999569999999</v>
      </c>
      <c r="O158" s="25">
        <v>1.1699999569999999</v>
      </c>
      <c r="P158" s="25">
        <v>82.661132809999998</v>
      </c>
      <c r="Q158" s="25">
        <v>82.196823120000005</v>
      </c>
      <c r="R158" s="61">
        <f t="shared" si="5"/>
        <v>191.65388248015867</v>
      </c>
      <c r="S158" s="61">
        <f t="shared" si="4"/>
        <v>193.11401466380579</v>
      </c>
      <c r="T158" s="25">
        <v>11.76201841</v>
      </c>
      <c r="U158" s="25">
        <v>16.368265959999999</v>
      </c>
      <c r="V158" s="25">
        <v>96.254344160000002</v>
      </c>
      <c r="W158" s="25">
        <v>96.102844529999999</v>
      </c>
      <c r="X158" s="25">
        <v>28.130284369999998</v>
      </c>
      <c r="Y158" s="25">
        <v>96.166197080000003</v>
      </c>
    </row>
    <row r="159" spans="1:25" s="25" customFormat="1" x14ac:dyDescent="0.2">
      <c r="A159" s="25">
        <v>199.97053529999999</v>
      </c>
      <c r="B159" s="25">
        <v>83.279617310000006</v>
      </c>
      <c r="C159" s="25">
        <v>82.249534609999998</v>
      </c>
      <c r="D159" s="25">
        <v>87.531738279999999</v>
      </c>
      <c r="E159" s="25">
        <v>85.418701170000006</v>
      </c>
      <c r="F159" s="25">
        <v>5.6125693319999996</v>
      </c>
      <c r="G159" s="25">
        <v>5.010660648</v>
      </c>
      <c r="H159" s="25">
        <v>22730.792969999999</v>
      </c>
      <c r="I159" s="25">
        <v>23098.1875</v>
      </c>
      <c r="J159" s="25">
        <v>185.92828370000001</v>
      </c>
      <c r="K159" s="25">
        <v>99.556999210000001</v>
      </c>
      <c r="L159" s="25">
        <v>14.56700039</v>
      </c>
      <c r="M159" s="25">
        <v>0.541000009</v>
      </c>
      <c r="N159" s="25">
        <v>29.222000120000001</v>
      </c>
      <c r="O159" s="25">
        <v>1.18900001</v>
      </c>
      <c r="P159" s="25">
        <v>83.234870909999998</v>
      </c>
      <c r="Q159" s="25">
        <v>82.31095886</v>
      </c>
      <c r="R159" s="61">
        <f t="shared" si="5"/>
        <v>198.47286565042515</v>
      </c>
      <c r="S159" s="61">
        <f t="shared" si="4"/>
        <v>200.52874578766264</v>
      </c>
      <c r="T159" s="25">
        <v>11.78115966</v>
      </c>
      <c r="U159" s="25">
        <v>17.181919629999999</v>
      </c>
      <c r="V159" s="25">
        <v>96.419115739999995</v>
      </c>
      <c r="W159" s="25">
        <v>95.864576790000001</v>
      </c>
      <c r="X159" s="25">
        <v>28.96307929</v>
      </c>
      <c r="Y159" s="25">
        <v>96.090230489999996</v>
      </c>
    </row>
    <row r="160" spans="1:25" s="25" customFormat="1" x14ac:dyDescent="0.2">
      <c r="A160" s="25">
        <v>207.56221009999999</v>
      </c>
      <c r="B160" s="25">
        <v>81.928833010000005</v>
      </c>
      <c r="C160" s="25">
        <v>82.670166019999996</v>
      </c>
      <c r="D160" s="25">
        <v>87.476928709999996</v>
      </c>
      <c r="E160" s="25">
        <v>85.816108700000001</v>
      </c>
      <c r="F160" s="25">
        <v>5.710211277</v>
      </c>
      <c r="G160" s="25">
        <v>4.753966331</v>
      </c>
      <c r="H160" s="25">
        <v>22402.761719999999</v>
      </c>
      <c r="I160" s="25">
        <v>22813.699219999999</v>
      </c>
      <c r="J160" s="25">
        <v>188.9285126</v>
      </c>
      <c r="K160" s="25">
        <v>99.561599729999998</v>
      </c>
      <c r="L160" s="25">
        <v>13.97900009</v>
      </c>
      <c r="M160" s="25">
        <v>0.50900000300000003</v>
      </c>
      <c r="N160" s="25">
        <v>28.591999049999998</v>
      </c>
      <c r="O160" s="25">
        <v>1.2869999409999999</v>
      </c>
      <c r="P160" s="25">
        <v>81.633453369999998</v>
      </c>
      <c r="Q160" s="25">
        <v>82.628608700000001</v>
      </c>
      <c r="R160" s="61">
        <f t="shared" si="5"/>
        <v>197.67580310568817</v>
      </c>
      <c r="S160" s="61">
        <f t="shared" si="4"/>
        <v>196.28487250832947</v>
      </c>
      <c r="T160" s="25">
        <v>10.83939767</v>
      </c>
      <c r="U160" s="25">
        <v>16.007236840000001</v>
      </c>
      <c r="V160" s="25">
        <v>96.486747649999998</v>
      </c>
      <c r="W160" s="25">
        <v>95.1540447</v>
      </c>
      <c r="X160" s="25">
        <v>26.846634510000001</v>
      </c>
      <c r="Y160" s="25">
        <v>95.69262698</v>
      </c>
    </row>
    <row r="161" spans="1:25" s="25" customFormat="1" x14ac:dyDescent="0.2">
      <c r="A161" s="25">
        <v>204.3380737</v>
      </c>
      <c r="B161" s="25">
        <v>81.70264435</v>
      </c>
      <c r="C161" s="25">
        <v>81.484161380000003</v>
      </c>
      <c r="D161" s="25">
        <v>88.386535640000005</v>
      </c>
      <c r="E161" s="25">
        <v>85.960388179999995</v>
      </c>
      <c r="F161" s="25">
        <v>5.152832031</v>
      </c>
      <c r="G161" s="25">
        <v>4.9235229489999996</v>
      </c>
      <c r="H161" s="25">
        <v>23548.78125</v>
      </c>
      <c r="I161" s="25">
        <v>23237.28125</v>
      </c>
      <c r="J161" s="25">
        <v>189.57977289999999</v>
      </c>
      <c r="K161" s="25">
        <v>99.531196589999993</v>
      </c>
      <c r="L161" s="25">
        <v>15.09200001</v>
      </c>
      <c r="M161" s="25">
        <v>0.51700002</v>
      </c>
      <c r="N161" s="25">
        <v>29.399000170000001</v>
      </c>
      <c r="O161" s="25">
        <v>1.1280000210000001</v>
      </c>
      <c r="P161" s="25">
        <v>81.29953003</v>
      </c>
      <c r="Q161" s="25">
        <v>81.696609499999994</v>
      </c>
      <c r="R161" s="61">
        <f t="shared" si="5"/>
        <v>190.8457685676789</v>
      </c>
      <c r="S161" s="61">
        <f t="shared" si="4"/>
        <v>197.95644342494481</v>
      </c>
      <c r="T161" s="25">
        <v>11.453289850000001</v>
      </c>
      <c r="U161" s="25">
        <v>16.634100060000002</v>
      </c>
      <c r="V161" s="25">
        <v>96.687808200000006</v>
      </c>
      <c r="W161" s="25">
        <v>96.041069239999999</v>
      </c>
      <c r="X161" s="25">
        <v>28.087389909999999</v>
      </c>
      <c r="Y161" s="25">
        <v>96.304910359999994</v>
      </c>
    </row>
    <row r="162" spans="1:25" s="25" customFormat="1" x14ac:dyDescent="0.2">
      <c r="A162" s="25">
        <v>207.46842960000001</v>
      </c>
      <c r="B162" s="25">
        <v>82.628654479999994</v>
      </c>
      <c r="C162" s="25">
        <v>82.123054499999995</v>
      </c>
      <c r="D162" s="25">
        <v>88.016967769999994</v>
      </c>
      <c r="E162" s="25">
        <v>85.966178889999995</v>
      </c>
      <c r="F162" s="25">
        <v>5.3478798870000004</v>
      </c>
      <c r="G162" s="25">
        <v>4.7816977500000002</v>
      </c>
      <c r="H162" s="25">
        <v>23213.824219999999</v>
      </c>
      <c r="I162" s="25">
        <v>23292.929690000001</v>
      </c>
      <c r="J162" s="25">
        <v>189.13179020000001</v>
      </c>
      <c r="K162" s="25">
        <v>99.544097899999997</v>
      </c>
      <c r="L162" s="25">
        <v>14.916999819999999</v>
      </c>
      <c r="M162" s="25">
        <v>0.493999988</v>
      </c>
      <c r="N162" s="25">
        <v>29.669000629999999</v>
      </c>
      <c r="O162" s="25">
        <v>1.1599999670000001</v>
      </c>
      <c r="P162" s="25">
        <v>81.884651180000006</v>
      </c>
      <c r="Q162" s="25">
        <v>82.041175839999994</v>
      </c>
      <c r="R162" s="61">
        <f t="shared" si="5"/>
        <v>182.56651209170192</v>
      </c>
      <c r="S162" s="61">
        <f t="shared" si="4"/>
        <v>179.8260193586589</v>
      </c>
      <c r="T162" s="25">
        <v>10.651513359999999</v>
      </c>
      <c r="U162" s="25">
        <v>14.72575786</v>
      </c>
      <c r="V162" s="25">
        <v>96.794497480000004</v>
      </c>
      <c r="W162" s="25">
        <v>95.833827589999999</v>
      </c>
      <c r="X162" s="25">
        <v>25.377271220000001</v>
      </c>
      <c r="Y162" s="25">
        <v>96.237309210000006</v>
      </c>
    </row>
    <row r="163" spans="1:25" s="25" customFormat="1" x14ac:dyDescent="0.2">
      <c r="A163" s="25">
        <v>203.3206787</v>
      </c>
      <c r="B163" s="25">
        <v>81.947517399999995</v>
      </c>
      <c r="C163" s="25">
        <v>81.829391479999998</v>
      </c>
      <c r="D163" s="25">
        <v>88.203430179999998</v>
      </c>
      <c r="E163" s="25">
        <v>85.662086489999993</v>
      </c>
      <c r="F163" s="25">
        <v>5.1890258789999999</v>
      </c>
      <c r="G163" s="25">
        <v>4.8629760739999996</v>
      </c>
      <c r="H163" s="25">
        <v>23327.70117</v>
      </c>
      <c r="I163" s="25">
        <v>23174.257809999999</v>
      </c>
      <c r="J163" s="25">
        <v>187.87686160000001</v>
      </c>
      <c r="K163" s="25">
        <v>99.515800479999996</v>
      </c>
      <c r="L163" s="25">
        <v>14.91899967</v>
      </c>
      <c r="M163" s="25">
        <v>0.495999992</v>
      </c>
      <c r="N163" s="25">
        <v>29.30500031</v>
      </c>
      <c r="O163" s="25">
        <v>1.1430000069999999</v>
      </c>
      <c r="P163" s="25">
        <v>81.53781128</v>
      </c>
      <c r="Q163" s="25">
        <v>81.708129880000001</v>
      </c>
      <c r="R163" s="61">
        <f t="shared" si="5"/>
        <v>189.60774489596321</v>
      </c>
      <c r="S163" s="61">
        <f t="shared" si="4"/>
        <v>185.5490984354916</v>
      </c>
      <c r="T163" s="25">
        <v>11.2942941</v>
      </c>
      <c r="U163" s="25">
        <v>15.101824239999999</v>
      </c>
      <c r="V163" s="25">
        <v>96.782354830000003</v>
      </c>
      <c r="W163" s="25">
        <v>95.844535590000007</v>
      </c>
      <c r="X163" s="25">
        <v>26.396118340000001</v>
      </c>
      <c r="Y163" s="25">
        <v>96.246058869999999</v>
      </c>
    </row>
    <row r="164" spans="1:25" s="25" customFormat="1" x14ac:dyDescent="0.2">
      <c r="A164" s="25">
        <v>199.34788510000001</v>
      </c>
      <c r="B164" s="25">
        <v>80.874702450000001</v>
      </c>
      <c r="C164" s="25">
        <v>80.513298030000001</v>
      </c>
      <c r="D164" s="25">
        <v>86.881713869999999</v>
      </c>
      <c r="E164" s="25">
        <v>84.649658200000005</v>
      </c>
      <c r="F164" s="25">
        <v>6.1550903320000003</v>
      </c>
      <c r="G164" s="25">
        <v>5.1113486290000001</v>
      </c>
      <c r="H164" s="25">
        <v>21954.984380000002</v>
      </c>
      <c r="I164" s="25">
        <v>20897.097659999999</v>
      </c>
      <c r="J164" s="25">
        <v>177.97421259999999</v>
      </c>
      <c r="K164" s="25">
        <v>99.73919678</v>
      </c>
      <c r="L164" s="25">
        <v>14.369999890000001</v>
      </c>
      <c r="M164" s="25">
        <v>0.460999995</v>
      </c>
      <c r="N164" s="25">
        <v>28.91200066</v>
      </c>
      <c r="O164" s="25">
        <v>1.0779999490000001</v>
      </c>
      <c r="P164" s="25">
        <v>80.166694640000003</v>
      </c>
      <c r="Q164" s="25">
        <v>80.339569089999998</v>
      </c>
      <c r="R164" s="61">
        <f t="shared" si="5"/>
        <v>175.65074278913795</v>
      </c>
      <c r="S164" s="61">
        <f t="shared" si="4"/>
        <v>169.8360054987466</v>
      </c>
      <c r="T164" s="25">
        <v>10.24284138</v>
      </c>
      <c r="U164" s="25">
        <v>13.96988954</v>
      </c>
      <c r="V164" s="25">
        <v>96.891645879999999</v>
      </c>
      <c r="W164" s="25">
        <v>96.048647700000004</v>
      </c>
      <c r="X164" s="25">
        <v>24.212730919999998</v>
      </c>
      <c r="Y164" s="25">
        <v>96.405468729999996</v>
      </c>
    </row>
    <row r="165" spans="1:25" s="25" customFormat="1" x14ac:dyDescent="0.2">
      <c r="A165" s="25">
        <v>193.65834050000001</v>
      </c>
      <c r="B165" s="25">
        <v>81.126525880000003</v>
      </c>
      <c r="C165" s="25">
        <v>80.231330869999994</v>
      </c>
      <c r="D165" s="25">
        <v>88.063049320000005</v>
      </c>
      <c r="E165" s="25">
        <v>85.385894780000001</v>
      </c>
      <c r="F165" s="25">
        <v>5.1534118649999998</v>
      </c>
      <c r="G165" s="25">
        <v>5.1890563959999998</v>
      </c>
      <c r="H165" s="25">
        <v>22210.92383</v>
      </c>
      <c r="I165" s="25">
        <v>22411.556639999999</v>
      </c>
      <c r="J165" s="25">
        <v>185.0540771</v>
      </c>
      <c r="K165" s="25">
        <v>99.627296450000003</v>
      </c>
      <c r="L165" s="25">
        <v>14.9090004</v>
      </c>
      <c r="M165" s="25">
        <v>0.53100001799999996</v>
      </c>
      <c r="N165" s="25">
        <v>28.91200066</v>
      </c>
      <c r="O165" s="25">
        <v>1.0779999490000001</v>
      </c>
      <c r="P165" s="25">
        <v>80.928764340000001</v>
      </c>
      <c r="Q165" s="25">
        <v>80.180870060000004</v>
      </c>
      <c r="R165" s="61">
        <f t="shared" si="5"/>
        <v>187.03922798343709</v>
      </c>
      <c r="S165" s="61">
        <f t="shared" si="4"/>
        <v>185.35029605528345</v>
      </c>
      <c r="T165" s="25">
        <v>11.70607038</v>
      </c>
      <c r="U165" s="25">
        <v>15.525346649999999</v>
      </c>
      <c r="V165" s="25">
        <v>96.560880800000007</v>
      </c>
      <c r="W165" s="25">
        <v>96.28825105</v>
      </c>
      <c r="X165" s="25">
        <v>27.231417029999999</v>
      </c>
      <c r="Y165" s="25">
        <v>96.405468729999996</v>
      </c>
    </row>
    <row r="166" spans="1:25" s="25" customFormat="1" x14ac:dyDescent="0.2">
      <c r="A166" s="25">
        <v>202.26373290000001</v>
      </c>
      <c r="B166" s="25">
        <v>81.093147279999997</v>
      </c>
      <c r="C166" s="25">
        <v>80.738624569999999</v>
      </c>
      <c r="D166" s="25">
        <v>88.015136720000001</v>
      </c>
      <c r="E166" s="25">
        <v>85.296028140000004</v>
      </c>
      <c r="F166" s="25">
        <v>5.2460021970000001</v>
      </c>
      <c r="G166" s="25">
        <v>4.9874877929999997</v>
      </c>
      <c r="H166" s="25">
        <v>21855.845700000002</v>
      </c>
      <c r="I166" s="25">
        <v>21881.023440000001</v>
      </c>
      <c r="J166" s="25">
        <v>184.87721250000001</v>
      </c>
      <c r="K166" s="25">
        <v>99.640197749999999</v>
      </c>
      <c r="L166" s="25">
        <v>14.519000050000001</v>
      </c>
      <c r="M166" s="25">
        <v>0.463999987</v>
      </c>
      <c r="N166" s="25">
        <v>28.91200066</v>
      </c>
      <c r="O166" s="25">
        <v>1.0779999490000001</v>
      </c>
      <c r="P166" s="25">
        <v>81.107780460000001</v>
      </c>
      <c r="Q166" s="25">
        <v>80.716011050000006</v>
      </c>
      <c r="R166" s="61">
        <f t="shared" si="5"/>
        <v>202.7535079335841</v>
      </c>
      <c r="S166" s="61">
        <f t="shared" si="4"/>
        <v>201.99662955735636</v>
      </c>
      <c r="T166" s="25">
        <v>11.783823529999999</v>
      </c>
      <c r="U166" s="25">
        <v>16.626948280000001</v>
      </c>
      <c r="V166" s="25">
        <v>96.903157010000001</v>
      </c>
      <c r="W166" s="25">
        <v>96.052396580000007</v>
      </c>
      <c r="X166" s="25">
        <v>28.410771799999999</v>
      </c>
      <c r="Y166" s="25">
        <v>96.405468729999996</v>
      </c>
    </row>
    <row r="167" spans="1:25" s="25" customFormat="1" x14ac:dyDescent="0.2">
      <c r="A167" s="25">
        <v>198.4709015</v>
      </c>
      <c r="B167" s="25">
        <v>80.152252200000007</v>
      </c>
      <c r="C167" s="25">
        <v>80.004844669999997</v>
      </c>
      <c r="D167" s="25">
        <v>87.725830079999994</v>
      </c>
      <c r="E167" s="25">
        <v>85.047004700000002</v>
      </c>
      <c r="F167" s="25">
        <v>5.3189697269999998</v>
      </c>
      <c r="G167" s="25">
        <v>5.354003906</v>
      </c>
      <c r="H167" s="25">
        <v>22045.380860000001</v>
      </c>
      <c r="I167" s="25">
        <v>22229.277340000001</v>
      </c>
      <c r="J167" s="25">
        <v>185.12721250000001</v>
      </c>
      <c r="K167" s="25">
        <v>99.632698059999996</v>
      </c>
      <c r="L167" s="25">
        <v>14.89000034</v>
      </c>
      <c r="M167" s="25">
        <v>0.48699998900000002</v>
      </c>
      <c r="N167" s="25">
        <v>28.586000439999999</v>
      </c>
      <c r="O167" s="25">
        <v>1.055999994</v>
      </c>
      <c r="P167" s="25">
        <v>80.059997559999999</v>
      </c>
      <c r="Q167" s="25">
        <v>79.874267579999994</v>
      </c>
      <c r="R167" s="61">
        <f t="shared" si="5"/>
        <v>195.38312294439689</v>
      </c>
      <c r="S167" s="61">
        <f t="shared" si="4"/>
        <v>191.01268544277059</v>
      </c>
      <c r="T167" s="25">
        <v>11.878656230000001</v>
      </c>
      <c r="U167" s="25">
        <v>15.183958130000001</v>
      </c>
      <c r="V167" s="25">
        <v>96.832932439999993</v>
      </c>
      <c r="W167" s="25">
        <v>96.127869029999999</v>
      </c>
      <c r="X167" s="25">
        <v>27.062614360000001</v>
      </c>
      <c r="Y167" s="25">
        <v>96.437487419999997</v>
      </c>
    </row>
    <row r="168" spans="1:25" s="25" customFormat="1" x14ac:dyDescent="0.2">
      <c r="A168" s="25">
        <v>199.76544190000001</v>
      </c>
      <c r="B168" s="25">
        <v>80.934577939999997</v>
      </c>
      <c r="C168" s="25">
        <v>80.841766359999994</v>
      </c>
      <c r="D168" s="25">
        <v>88.008117679999998</v>
      </c>
      <c r="E168" s="25">
        <v>85.107421880000004</v>
      </c>
      <c r="F168" s="25">
        <v>5.2669677730000002</v>
      </c>
      <c r="G168" s="25">
        <v>5.1554565429999997</v>
      </c>
      <c r="H168" s="25">
        <v>21999.79492</v>
      </c>
      <c r="I168" s="25">
        <v>22001.849610000001</v>
      </c>
      <c r="J168" s="25">
        <v>186.38214110000001</v>
      </c>
      <c r="K168" s="25">
        <v>99.641403199999999</v>
      </c>
      <c r="L168" s="25">
        <v>14.90400028</v>
      </c>
      <c r="M168" s="25">
        <v>0.472000003</v>
      </c>
      <c r="N168" s="25">
        <v>28.586000439999999</v>
      </c>
      <c r="O168" s="25">
        <v>1.055999994</v>
      </c>
      <c r="P168" s="25">
        <v>80.682861329999994</v>
      </c>
      <c r="Q168" s="25">
        <v>80.342811580000003</v>
      </c>
      <c r="R168" s="61">
        <f t="shared" si="5"/>
        <v>191.34044397635023</v>
      </c>
      <c r="S168" s="61">
        <f t="shared" si="4"/>
        <v>174.64034228065751</v>
      </c>
      <c r="T168" s="25">
        <v>11.55441175</v>
      </c>
      <c r="U168" s="25">
        <v>13.02608474</v>
      </c>
      <c r="V168" s="25">
        <v>96.930280999999994</v>
      </c>
      <c r="W168" s="25">
        <v>95.999892970000005</v>
      </c>
      <c r="X168" s="25">
        <v>24.580496490000002</v>
      </c>
      <c r="Y168" s="25">
        <v>96.437487419999997</v>
      </c>
    </row>
    <row r="169" spans="1:25" s="25" customFormat="1" x14ac:dyDescent="0.2">
      <c r="A169" s="25">
        <v>208.5941162</v>
      </c>
      <c r="B169" s="25">
        <v>79.925231929999995</v>
      </c>
      <c r="C169" s="25">
        <v>80.382385249999999</v>
      </c>
      <c r="D169" s="25">
        <v>88.127136230000005</v>
      </c>
      <c r="E169" s="25">
        <v>85.354606630000006</v>
      </c>
      <c r="F169" s="25">
        <v>5.3599243159999999</v>
      </c>
      <c r="G169" s="25">
        <v>4.912597656</v>
      </c>
      <c r="H169" s="25">
        <v>22059.867190000001</v>
      </c>
      <c r="I169" s="25">
        <v>21809.435549999998</v>
      </c>
      <c r="J169" s="25">
        <v>187.17082210000001</v>
      </c>
      <c r="K169" s="25">
        <v>99.626701350000005</v>
      </c>
      <c r="L169" s="25">
        <v>14.980999949999999</v>
      </c>
      <c r="M169" s="25">
        <v>0.47999998900000002</v>
      </c>
      <c r="N169" s="25">
        <v>28.586000439999999</v>
      </c>
      <c r="O169" s="25">
        <v>1.055999994</v>
      </c>
      <c r="P169" s="25">
        <v>80.008430480000001</v>
      </c>
      <c r="Q169" s="25">
        <v>80.431838990000003</v>
      </c>
      <c r="R169" s="61">
        <f t="shared" si="5"/>
        <v>211.37878587674766</v>
      </c>
      <c r="S169" s="61">
        <f t="shared" si="4"/>
        <v>213.03401100001921</v>
      </c>
      <c r="T169" s="25">
        <v>12.294101100000001</v>
      </c>
      <c r="U169" s="25">
        <v>16.425434330000002</v>
      </c>
      <c r="V169" s="25">
        <v>96.89541432</v>
      </c>
      <c r="W169" s="25">
        <v>96.094417089999993</v>
      </c>
      <c r="X169" s="25">
        <v>28.719535430000001</v>
      </c>
      <c r="Y169" s="25">
        <v>96.437487419999997</v>
      </c>
    </row>
    <row r="170" spans="1:25" s="25" customFormat="1" x14ac:dyDescent="0.2">
      <c r="A170" s="25">
        <v>196.70114140000001</v>
      </c>
      <c r="B170" s="25">
        <v>80.566230770000004</v>
      </c>
      <c r="C170" s="25">
        <v>80.419776920000004</v>
      </c>
      <c r="D170" s="25">
        <v>87.936408999999998</v>
      </c>
      <c r="E170" s="25">
        <v>85.067138670000006</v>
      </c>
      <c r="F170" s="25">
        <v>5.2738647460000001</v>
      </c>
      <c r="G170" s="25">
        <v>5.1487631800000004</v>
      </c>
      <c r="H170" s="25">
        <v>22168.935549999998</v>
      </c>
      <c r="I170" s="25">
        <v>22299.755860000001</v>
      </c>
      <c r="J170" s="25">
        <v>187.06929020000001</v>
      </c>
      <c r="K170" s="25">
        <v>99.625</v>
      </c>
      <c r="L170" s="25">
        <v>14.52900028</v>
      </c>
      <c r="M170" s="25">
        <v>0.47099998599999998</v>
      </c>
      <c r="N170" s="25">
        <v>28.586000439999999</v>
      </c>
      <c r="O170" s="25">
        <v>1.055999994</v>
      </c>
      <c r="P170" s="25">
        <v>81.218597410000001</v>
      </c>
      <c r="Q170" s="25">
        <v>80.629455570000005</v>
      </c>
      <c r="R170" s="61">
        <f t="shared" si="5"/>
        <v>218.53596424883114</v>
      </c>
      <c r="S170" s="61">
        <f t="shared" si="4"/>
        <v>225.55394447224063</v>
      </c>
      <c r="T170" s="25">
        <v>13.077736590000001</v>
      </c>
      <c r="U170" s="25">
        <v>19.16868174</v>
      </c>
      <c r="V170" s="25">
        <v>96.860000150000005</v>
      </c>
      <c r="W170" s="25">
        <v>96.14899029</v>
      </c>
      <c r="X170" s="25">
        <v>32.246418319999997</v>
      </c>
      <c r="Y170" s="25">
        <v>96.437487419999997</v>
      </c>
    </row>
    <row r="171" spans="1:25" s="25" customFormat="1" x14ac:dyDescent="0.2">
      <c r="A171" s="25">
        <v>201.4914551</v>
      </c>
      <c r="B171" s="25">
        <v>80.433715820000003</v>
      </c>
      <c r="C171" s="25">
        <v>80.355484009999998</v>
      </c>
      <c r="D171" s="25">
        <v>87.969215390000002</v>
      </c>
      <c r="E171" s="25">
        <v>84.869384769999996</v>
      </c>
      <c r="F171" s="25">
        <v>5.3193969729999999</v>
      </c>
      <c r="G171" s="25">
        <v>5.4792480469999996</v>
      </c>
      <c r="H171" s="25">
        <v>22059.539059999999</v>
      </c>
      <c r="I171" s="25">
        <v>22369.474610000001</v>
      </c>
      <c r="J171" s="25">
        <v>187.3957977</v>
      </c>
      <c r="K171" s="25">
        <v>99.608901979999999</v>
      </c>
      <c r="L171" s="25">
        <v>14.79399967</v>
      </c>
      <c r="M171" s="25">
        <v>0.463999987</v>
      </c>
      <c r="N171" s="25">
        <v>28.586000439999999</v>
      </c>
      <c r="O171" s="25">
        <v>1.055999994</v>
      </c>
      <c r="P171" s="25">
        <v>81.408538820000004</v>
      </c>
      <c r="Q171" s="25">
        <v>80.744949340000005</v>
      </c>
      <c r="R171" s="61">
        <f t="shared" si="5"/>
        <v>234.11894738557459</v>
      </c>
      <c r="S171" s="61">
        <f t="shared" si="4"/>
        <v>247.15441849168718</v>
      </c>
      <c r="T171" s="25">
        <v>13.913060310000001</v>
      </c>
      <c r="U171" s="25">
        <v>20.587000830000001</v>
      </c>
      <c r="V171" s="25">
        <v>96.958972360000004</v>
      </c>
      <c r="W171" s="25">
        <v>96.084697879999993</v>
      </c>
      <c r="X171" s="25">
        <v>34.500061150000001</v>
      </c>
      <c r="Y171" s="25">
        <v>96.437487419999997</v>
      </c>
    </row>
    <row r="172" spans="1:25" s="25" customFormat="1" x14ac:dyDescent="0.2">
      <c r="A172" s="25">
        <v>202.50164789999999</v>
      </c>
      <c r="B172" s="25">
        <v>81.353363040000005</v>
      </c>
      <c r="C172" s="25">
        <v>81.029785160000003</v>
      </c>
      <c r="D172" s="25">
        <v>88.172607420000006</v>
      </c>
      <c r="E172" s="25">
        <v>85.13671875</v>
      </c>
      <c r="F172" s="25">
        <v>5.2446694369999998</v>
      </c>
      <c r="G172" s="25">
        <v>5.112284184</v>
      </c>
      <c r="H172" s="25">
        <v>22397.417969999999</v>
      </c>
      <c r="I172" s="25">
        <v>22145.228520000001</v>
      </c>
      <c r="J172" s="25">
        <v>186.96109010000001</v>
      </c>
      <c r="K172" s="25">
        <v>99.632400509999997</v>
      </c>
      <c r="L172" s="25">
        <v>14.72900009</v>
      </c>
      <c r="M172" s="25">
        <v>0.47699999799999998</v>
      </c>
      <c r="N172" s="25">
        <v>28.586000439999999</v>
      </c>
      <c r="O172" s="25">
        <v>1.055999994</v>
      </c>
      <c r="P172" s="25">
        <v>80.927040099999999</v>
      </c>
      <c r="Q172" s="25">
        <v>80.826522830000002</v>
      </c>
      <c r="R172" s="61">
        <f t="shared" si="5"/>
        <v>188.23254629282243</v>
      </c>
      <c r="S172" s="61">
        <f t="shared" si="4"/>
        <v>181.42932139556115</v>
      </c>
      <c r="T172" s="25">
        <v>11.091048349999999</v>
      </c>
      <c r="U172" s="25">
        <v>14.102224619999999</v>
      </c>
      <c r="V172" s="25">
        <v>96.863080389999993</v>
      </c>
      <c r="W172" s="25">
        <v>96.102471089999995</v>
      </c>
      <c r="X172" s="25">
        <v>25.193272969999999</v>
      </c>
      <c r="Y172" s="25">
        <v>96.437487419999997</v>
      </c>
    </row>
    <row r="173" spans="1:25" s="25" customFormat="1" x14ac:dyDescent="0.2">
      <c r="A173" s="25">
        <v>201.81651310000001</v>
      </c>
      <c r="B173" s="25">
        <v>79.949089049999998</v>
      </c>
      <c r="C173" s="25">
        <v>80.108390810000003</v>
      </c>
      <c r="D173" s="25">
        <v>87.958366389999995</v>
      </c>
      <c r="E173" s="25">
        <v>85.054328920000003</v>
      </c>
      <c r="F173" s="25">
        <v>5.5103554729999997</v>
      </c>
      <c r="G173" s="25">
        <v>5.319335938</v>
      </c>
      <c r="H173" s="25">
        <v>22410.214840000001</v>
      </c>
      <c r="I173" s="25">
        <v>22203.21875</v>
      </c>
      <c r="J173" s="25">
        <v>186.8215179</v>
      </c>
      <c r="K173" s="25">
        <v>99.61419678</v>
      </c>
      <c r="L173" s="25">
        <v>14.68900013</v>
      </c>
      <c r="M173" s="25">
        <v>0.48300000999999998</v>
      </c>
      <c r="N173" s="25">
        <v>28.586000439999999</v>
      </c>
      <c r="O173" s="25">
        <v>1.055999994</v>
      </c>
      <c r="P173" s="25">
        <v>79.816688540000001</v>
      </c>
      <c r="Q173" s="25">
        <v>79.856063840000004</v>
      </c>
      <c r="R173" s="61">
        <f t="shared" si="5"/>
        <v>197.38504541957903</v>
      </c>
      <c r="S173" s="61">
        <f t="shared" si="4"/>
        <v>188.93961864249502</v>
      </c>
      <c r="T173" s="25">
        <v>11.64648515</v>
      </c>
      <c r="U173" s="25">
        <v>14.683545860000001</v>
      </c>
      <c r="V173" s="25">
        <v>96.816504050000006</v>
      </c>
      <c r="W173" s="25">
        <v>96.136625159999994</v>
      </c>
      <c r="X173" s="25">
        <v>26.330031009999999</v>
      </c>
      <c r="Y173" s="25">
        <v>96.437487419999997</v>
      </c>
    </row>
    <row r="174" spans="1:25" s="25" customFormat="1" x14ac:dyDescent="0.2">
      <c r="A174" s="25">
        <v>204.06678769999999</v>
      </c>
      <c r="B174" s="25">
        <v>81.010559079999993</v>
      </c>
      <c r="C174" s="25">
        <v>81.260848999999993</v>
      </c>
      <c r="D174" s="25">
        <v>88.133995060000004</v>
      </c>
      <c r="E174" s="25">
        <v>85.076148989999993</v>
      </c>
      <c r="F174" s="25">
        <v>5.2713012700000004</v>
      </c>
      <c r="G174" s="25">
        <v>5.0476379390000004</v>
      </c>
      <c r="H174" s="25">
        <v>22400.322270000001</v>
      </c>
      <c r="I174" s="25">
        <v>22195.791020000001</v>
      </c>
      <c r="J174" s="25">
        <v>187.0025024</v>
      </c>
      <c r="K174" s="25">
        <v>99.637603760000005</v>
      </c>
      <c r="L174" s="25">
        <v>14.583000180000001</v>
      </c>
      <c r="M174" s="25">
        <v>0.47900000199999998</v>
      </c>
      <c r="N174" s="25">
        <v>28.39599991</v>
      </c>
      <c r="O174" s="25">
        <v>1.2359999420000001</v>
      </c>
      <c r="P174" s="25">
        <v>80.609825130000004</v>
      </c>
      <c r="Q174" s="25">
        <v>80.897026060000002</v>
      </c>
      <c r="R174" s="61">
        <f t="shared" si="5"/>
        <v>190.65415395808739</v>
      </c>
      <c r="S174" s="61">
        <f t="shared" si="4"/>
        <v>178.47693802435913</v>
      </c>
      <c r="T174" s="25">
        <v>11.041990419999999</v>
      </c>
      <c r="U174" s="25">
        <v>13.559160840000001</v>
      </c>
      <c r="V174" s="25">
        <v>96.819811470000005</v>
      </c>
      <c r="W174" s="25">
        <v>95.020124600000003</v>
      </c>
      <c r="X174" s="25">
        <v>24.601151269999999</v>
      </c>
      <c r="Y174" s="25">
        <v>95.828833869999997</v>
      </c>
    </row>
    <row r="175" spans="1:25" s="25" customFormat="1" x14ac:dyDescent="0.2">
      <c r="A175" s="25">
        <v>201.89561459999999</v>
      </c>
      <c r="B175" s="25">
        <v>79.860244750000007</v>
      </c>
      <c r="C175" s="25">
        <v>79.596733090000001</v>
      </c>
      <c r="D175" s="25">
        <v>87.877647400000001</v>
      </c>
      <c r="E175" s="25">
        <v>85.115051269999995</v>
      </c>
      <c r="F175" s="25">
        <v>5.3926391599999999</v>
      </c>
      <c r="G175" s="25">
        <v>4.8785705569999998</v>
      </c>
      <c r="H175" s="25">
        <v>22392.660159999999</v>
      </c>
      <c r="I175" s="25">
        <v>22043.400389999999</v>
      </c>
      <c r="J175" s="25">
        <v>186.55195620000001</v>
      </c>
      <c r="K175" s="25">
        <v>99.602500919999997</v>
      </c>
      <c r="L175" s="25">
        <v>14.67700005</v>
      </c>
      <c r="M175" s="25">
        <v>0.467999995</v>
      </c>
      <c r="N175" s="25">
        <v>28.39599991</v>
      </c>
      <c r="O175" s="25">
        <v>1.2359999420000001</v>
      </c>
      <c r="P175" s="25">
        <v>79.661308289999994</v>
      </c>
      <c r="Q175" s="25">
        <v>79.452529909999996</v>
      </c>
      <c r="R175" s="61">
        <f t="shared" si="5"/>
        <v>195.23717731038954</v>
      </c>
      <c r="S175" s="61">
        <f t="shared" si="4"/>
        <v>190.41067224946516</v>
      </c>
      <c r="T175" s="25">
        <v>11.49483991</v>
      </c>
      <c r="U175" s="25">
        <v>15.042848080000001</v>
      </c>
      <c r="V175" s="25">
        <v>96.909871289999998</v>
      </c>
      <c r="W175" s="25">
        <v>95.000923830000005</v>
      </c>
      <c r="X175" s="25">
        <v>26.537687989999998</v>
      </c>
      <c r="Y175" s="25">
        <v>95.828833869999997</v>
      </c>
    </row>
    <row r="176" spans="1:25" s="25" customFormat="1" x14ac:dyDescent="0.2">
      <c r="A176" s="25">
        <v>201.85688780000001</v>
      </c>
      <c r="B176" s="25">
        <v>80.402122500000004</v>
      </c>
      <c r="C176" s="25">
        <v>80.408248900000004</v>
      </c>
      <c r="D176" s="25">
        <v>87.789924619999994</v>
      </c>
      <c r="E176" s="25">
        <v>85.069274899999996</v>
      </c>
      <c r="F176" s="25">
        <v>5.3928222659999996</v>
      </c>
      <c r="G176" s="25">
        <v>5.0079650879999997</v>
      </c>
      <c r="H176" s="25">
        <v>22214.845700000002</v>
      </c>
      <c r="I176" s="25">
        <v>21833.886719999999</v>
      </c>
      <c r="J176" s="25">
        <v>186.90052800000001</v>
      </c>
      <c r="K176" s="25">
        <v>99.623497009999994</v>
      </c>
      <c r="L176" s="25">
        <v>14.90600014</v>
      </c>
      <c r="M176" s="25">
        <v>0.49500000500000002</v>
      </c>
      <c r="N176" s="25">
        <v>28.39599991</v>
      </c>
      <c r="O176" s="25">
        <v>1.2359999420000001</v>
      </c>
      <c r="P176" s="25">
        <v>80.514839170000002</v>
      </c>
      <c r="Q176" s="25">
        <v>80.556411740000001</v>
      </c>
      <c r="R176" s="61">
        <f t="shared" si="5"/>
        <v>205.62953399410969</v>
      </c>
      <c r="S176" s="61">
        <f t="shared" si="4"/>
        <v>210.58856955144549</v>
      </c>
      <c r="T176" s="25">
        <v>12.312899590000001</v>
      </c>
      <c r="U176" s="25">
        <v>17.03644224</v>
      </c>
      <c r="V176" s="25">
        <v>96.785922990000003</v>
      </c>
      <c r="W176" s="25">
        <v>95.135772110000005</v>
      </c>
      <c r="X176" s="25">
        <v>29.34934183</v>
      </c>
      <c r="Y176" s="25">
        <v>95.828833869999997</v>
      </c>
    </row>
    <row r="177" spans="1:25" s="25" customFormat="1" x14ac:dyDescent="0.2">
      <c r="A177" s="25">
        <v>198.18011469999999</v>
      </c>
      <c r="B177" s="25">
        <v>80.511672970000006</v>
      </c>
      <c r="C177" s="25">
        <v>80.834106449999993</v>
      </c>
      <c r="D177" s="25">
        <v>88.070678709999996</v>
      </c>
      <c r="E177" s="25">
        <v>85.283660889999993</v>
      </c>
      <c r="F177" s="25">
        <v>5.3469848630000003</v>
      </c>
      <c r="G177" s="25">
        <v>4.8370361329999998</v>
      </c>
      <c r="H177" s="25">
        <v>22414.261719999999</v>
      </c>
      <c r="I177" s="25">
        <v>22047.242190000001</v>
      </c>
      <c r="J177" s="25">
        <v>186.9406281</v>
      </c>
      <c r="K177" s="25">
        <v>99.594703670000001</v>
      </c>
      <c r="L177" s="25">
        <v>14.79899979</v>
      </c>
      <c r="M177" s="25">
        <v>0.48600000100000001</v>
      </c>
      <c r="N177" s="25">
        <v>28.39599991</v>
      </c>
      <c r="O177" s="25">
        <v>1.2359999420000001</v>
      </c>
      <c r="P177" s="25">
        <v>80.837554929999996</v>
      </c>
      <c r="Q177" s="25">
        <v>81.038665769999994</v>
      </c>
      <c r="R177" s="61">
        <f t="shared" si="5"/>
        <v>209.08743955375044</v>
      </c>
      <c r="S177" s="61">
        <f t="shared" si="4"/>
        <v>215.93407492780545</v>
      </c>
      <c r="T177" s="25">
        <v>12.659332429999999</v>
      </c>
      <c r="U177" s="25">
        <v>18.002195189999998</v>
      </c>
      <c r="V177" s="25">
        <v>96.82041212</v>
      </c>
      <c r="W177" s="25">
        <v>95.130165899999994</v>
      </c>
      <c r="X177" s="25">
        <v>30.661527620000001</v>
      </c>
      <c r="Y177" s="25">
        <v>95.828833869999997</v>
      </c>
    </row>
    <row r="178" spans="1:25" s="25" customFormat="1" x14ac:dyDescent="0.2">
      <c r="A178" s="25">
        <v>199.2462616</v>
      </c>
      <c r="B178" s="25">
        <v>81.487876889999995</v>
      </c>
      <c r="C178" s="25">
        <v>81.047431950000004</v>
      </c>
      <c r="D178" s="25">
        <v>87.993164059999998</v>
      </c>
      <c r="E178" s="25">
        <v>85.056152339999997</v>
      </c>
      <c r="F178" s="25">
        <v>5.223632813</v>
      </c>
      <c r="G178" s="25">
        <v>5.1029458050000001</v>
      </c>
      <c r="H178" s="25">
        <v>22397.0625</v>
      </c>
      <c r="I178" s="25">
        <v>22095.552729999999</v>
      </c>
      <c r="J178" s="25">
        <v>187.17141720000001</v>
      </c>
      <c r="K178" s="25">
        <v>99.622596740000006</v>
      </c>
      <c r="L178" s="25">
        <v>14.61699963</v>
      </c>
      <c r="M178" s="25">
        <v>0.48300000999999998</v>
      </c>
      <c r="N178" s="25">
        <v>28.39599991</v>
      </c>
      <c r="O178" s="25">
        <v>1.2359999420000001</v>
      </c>
      <c r="P178" s="25">
        <v>81.512855529999996</v>
      </c>
      <c r="Q178" s="25">
        <v>80.907608030000006</v>
      </c>
      <c r="R178" s="61">
        <f t="shared" si="5"/>
        <v>200.0823009465318</v>
      </c>
      <c r="S178" s="61">
        <f t="shared" si="4"/>
        <v>195.4023704656766</v>
      </c>
      <c r="T178" s="25">
        <v>11.90038515</v>
      </c>
      <c r="U178" s="25">
        <v>15.689552300000001</v>
      </c>
      <c r="V178" s="25">
        <v>96.801324359999995</v>
      </c>
      <c r="W178" s="25">
        <v>95.089730560000007</v>
      </c>
      <c r="X178" s="25">
        <v>27.58993744</v>
      </c>
      <c r="Y178" s="25">
        <v>95.828833869999997</v>
      </c>
    </row>
    <row r="179" spans="1:25" s="25" customFormat="1" x14ac:dyDescent="0.2">
      <c r="A179" s="25">
        <v>200.8872681</v>
      </c>
      <c r="B179" s="25">
        <v>80.065589900000006</v>
      </c>
      <c r="C179" s="25">
        <v>80.767265320000007</v>
      </c>
      <c r="D179" s="25">
        <v>88.055419920000006</v>
      </c>
      <c r="E179" s="25">
        <v>85.398864750000001</v>
      </c>
      <c r="F179" s="25">
        <v>5.2268981930000002</v>
      </c>
      <c r="G179" s="25">
        <v>4.910186768</v>
      </c>
      <c r="H179" s="25">
        <v>22339.443360000001</v>
      </c>
      <c r="I179" s="25">
        <v>22001.660159999999</v>
      </c>
      <c r="J179" s="25">
        <v>186.8596039</v>
      </c>
      <c r="K179" s="25">
        <v>99.585899350000005</v>
      </c>
      <c r="L179" s="25">
        <v>15.027999879999999</v>
      </c>
      <c r="M179" s="25">
        <v>0.493999988</v>
      </c>
      <c r="N179" s="25">
        <v>28.39599991</v>
      </c>
      <c r="O179" s="25">
        <v>1.2359999420000001</v>
      </c>
      <c r="P179" s="25">
        <v>80.017601010000007</v>
      </c>
      <c r="Q179" s="25">
        <v>80.5322113</v>
      </c>
      <c r="R179" s="61">
        <f t="shared" si="5"/>
        <v>199.28107175638863</v>
      </c>
      <c r="S179" s="61">
        <f t="shared" si="4"/>
        <v>191.41377356559551</v>
      </c>
      <c r="T179" s="25">
        <v>12.08867568</v>
      </c>
      <c r="U179" s="25">
        <v>14.727191729999999</v>
      </c>
      <c r="V179" s="25">
        <v>96.817420490000003</v>
      </c>
      <c r="W179" s="25">
        <v>95.015650300000004</v>
      </c>
      <c r="X179" s="25">
        <v>26.815867409999999</v>
      </c>
      <c r="Y179" s="25">
        <v>95.828833869999997</v>
      </c>
    </row>
    <row r="180" spans="1:25" s="25" customFormat="1" x14ac:dyDescent="0.2">
      <c r="A180" s="25">
        <v>204.93443300000001</v>
      </c>
      <c r="B180" s="25">
        <v>80.083793639999996</v>
      </c>
      <c r="C180" s="25">
        <v>79.784805300000002</v>
      </c>
      <c r="D180" s="25">
        <v>88.013465879999998</v>
      </c>
      <c r="E180" s="25">
        <v>85.257720950000007</v>
      </c>
      <c r="F180" s="25">
        <v>5.5753784179999997</v>
      </c>
      <c r="G180" s="25">
        <v>5.0414733890000001</v>
      </c>
      <c r="H180" s="25">
        <v>22375.73242</v>
      </c>
      <c r="I180" s="25">
        <v>22099.775389999999</v>
      </c>
      <c r="J180" s="25">
        <v>187.14732359999999</v>
      </c>
      <c r="K180" s="25">
        <v>99.610099790000007</v>
      </c>
      <c r="L180" s="25">
        <v>14.56400013</v>
      </c>
      <c r="M180" s="25">
        <v>0.46300000000000002</v>
      </c>
      <c r="N180" s="25">
        <v>28.39599991</v>
      </c>
      <c r="O180" s="25">
        <v>1.2359999420000001</v>
      </c>
      <c r="P180" s="25">
        <v>80.07778931</v>
      </c>
      <c r="Q180" s="25">
        <v>79.938842769999994</v>
      </c>
      <c r="R180" s="61">
        <f t="shared" si="5"/>
        <v>204.73346704950958</v>
      </c>
      <c r="S180" s="61">
        <f t="shared" si="4"/>
        <v>209.88912747618616</v>
      </c>
      <c r="T180" s="25">
        <v>11.78166034</v>
      </c>
      <c r="U180" s="25">
        <v>17.0347951</v>
      </c>
      <c r="V180" s="25">
        <v>96.918879380000007</v>
      </c>
      <c r="W180" s="25">
        <v>95.073304010000001</v>
      </c>
      <c r="X180" s="25">
        <v>28.816455439999999</v>
      </c>
      <c r="Y180" s="25">
        <v>95.828833869999997</v>
      </c>
    </row>
    <row r="181" spans="1:25" s="25" customFormat="1" x14ac:dyDescent="0.2">
      <c r="A181" s="25">
        <v>200.5474548</v>
      </c>
      <c r="B181" s="25">
        <v>79.564277649999994</v>
      </c>
      <c r="C181" s="25">
        <v>79.777061459999999</v>
      </c>
      <c r="D181" s="25">
        <v>87.908935549999995</v>
      </c>
      <c r="E181" s="25">
        <v>85.133056640000007</v>
      </c>
      <c r="F181" s="25">
        <v>5.5711874960000003</v>
      </c>
      <c r="G181" s="25">
        <v>5.2130532260000004</v>
      </c>
      <c r="H181" s="25">
        <v>22175.099610000001</v>
      </c>
      <c r="I181" s="25">
        <v>21866.628909999999</v>
      </c>
      <c r="J181" s="25">
        <v>186.67730710000001</v>
      </c>
      <c r="K181" s="25">
        <v>99.610099790000007</v>
      </c>
      <c r="L181" s="25">
        <v>14.77999973</v>
      </c>
      <c r="M181" s="25">
        <v>0.48899999300000002</v>
      </c>
      <c r="N181" s="25">
        <v>28.677999499999999</v>
      </c>
      <c r="O181" s="25">
        <v>1.0820000169999999</v>
      </c>
      <c r="P181" s="25">
        <v>79.840003969999998</v>
      </c>
      <c r="Q181" s="25">
        <v>80.23075867</v>
      </c>
      <c r="R181" s="61">
        <f t="shared" si="5"/>
        <v>209.77606181761243</v>
      </c>
      <c r="S181" s="61">
        <f t="shared" si="4"/>
        <v>224.96138491653576</v>
      </c>
      <c r="T181" s="25">
        <v>12.536358720000001</v>
      </c>
      <c r="U181" s="25">
        <v>19.14153864</v>
      </c>
      <c r="V181" s="25">
        <v>96.797432700000002</v>
      </c>
      <c r="W181" s="25">
        <v>96.080303049999998</v>
      </c>
      <c r="X181" s="25">
        <v>31.677897359999999</v>
      </c>
      <c r="Y181" s="25">
        <v>96.36424719</v>
      </c>
    </row>
    <row r="182" spans="1:25" s="25" customFormat="1" x14ac:dyDescent="0.2">
      <c r="A182" s="25">
        <v>201.0300293</v>
      </c>
      <c r="B182" s="25">
        <v>80.694297789999993</v>
      </c>
      <c r="C182" s="25">
        <v>81.160522459999996</v>
      </c>
      <c r="D182" s="25">
        <v>88.249511720000001</v>
      </c>
      <c r="E182" s="25">
        <v>85.001220700000005</v>
      </c>
      <c r="F182" s="25">
        <v>5.1971640590000003</v>
      </c>
      <c r="G182" s="25">
        <v>5.1755371090000004</v>
      </c>
      <c r="H182" s="25">
        <v>22744.828130000002</v>
      </c>
      <c r="I182" s="25">
        <v>22936.037110000001</v>
      </c>
      <c r="J182" s="25">
        <v>186.34681699999999</v>
      </c>
      <c r="K182" s="25">
        <v>99.629501340000004</v>
      </c>
      <c r="L182" s="25">
        <v>14.618000029999999</v>
      </c>
      <c r="M182" s="25">
        <v>0.463999987</v>
      </c>
      <c r="N182" s="25">
        <v>28.677999499999999</v>
      </c>
      <c r="O182" s="25">
        <v>1.0820000169999999</v>
      </c>
      <c r="P182" s="25">
        <v>80.049262999999996</v>
      </c>
      <c r="Q182" s="25">
        <v>80.661491389999995</v>
      </c>
      <c r="R182" s="61">
        <f t="shared" si="5"/>
        <v>179.44060472276689</v>
      </c>
      <c r="S182" s="61">
        <f t="shared" si="4"/>
        <v>162.73794958774539</v>
      </c>
      <c r="T182" s="25">
        <v>10.563117330000001</v>
      </c>
      <c r="U182" s="25">
        <v>12.29333637</v>
      </c>
      <c r="V182" s="25">
        <v>96.923485040000003</v>
      </c>
      <c r="W182" s="25">
        <v>95.883133670000007</v>
      </c>
      <c r="X182" s="25">
        <v>22.856453689999999</v>
      </c>
      <c r="Y182" s="25">
        <v>96.36424719</v>
      </c>
    </row>
    <row r="183" spans="1:25" s="25" customFormat="1" x14ac:dyDescent="0.2">
      <c r="A183" s="25">
        <v>199.5924072</v>
      </c>
      <c r="B183" s="25">
        <v>81.050514219999997</v>
      </c>
      <c r="C183" s="25">
        <v>80.989082339999996</v>
      </c>
      <c r="D183" s="25">
        <v>88.043975829999994</v>
      </c>
      <c r="E183" s="25">
        <v>84.907531739999996</v>
      </c>
      <c r="F183" s="25">
        <v>5.1926574710000004</v>
      </c>
      <c r="G183" s="25">
        <v>5.2178955079999998</v>
      </c>
      <c r="H183" s="25">
        <v>22173.171880000002</v>
      </c>
      <c r="I183" s="25">
        <v>22412.789059999999</v>
      </c>
      <c r="J183" s="25">
        <v>184.6424255</v>
      </c>
      <c r="K183" s="25">
        <v>99.647201539999998</v>
      </c>
      <c r="L183" s="25">
        <v>14.63399982</v>
      </c>
      <c r="M183" s="25">
        <v>0.49000000999999999</v>
      </c>
      <c r="N183" s="25">
        <v>28.677999499999999</v>
      </c>
      <c r="O183" s="25">
        <v>1.0820000169999999</v>
      </c>
      <c r="P183" s="25">
        <v>80.761322019999994</v>
      </c>
      <c r="Q183" s="25">
        <v>80.678947449999995</v>
      </c>
      <c r="R183" s="61">
        <f t="shared" si="5"/>
        <v>189.91309487914953</v>
      </c>
      <c r="S183" s="61">
        <f t="shared" si="4"/>
        <v>179.53282714750745</v>
      </c>
      <c r="T183" s="25">
        <v>11.291635469999999</v>
      </c>
      <c r="U183" s="25">
        <v>14.100758519999999</v>
      </c>
      <c r="V183" s="25">
        <v>96.760116269999997</v>
      </c>
      <c r="W183" s="25">
        <v>96.046977679999998</v>
      </c>
      <c r="X183" s="25">
        <v>25.392393989999999</v>
      </c>
      <c r="Y183" s="25">
        <v>96.36424719</v>
      </c>
    </row>
    <row r="184" spans="1:25" s="25" customFormat="1" x14ac:dyDescent="0.2">
      <c r="A184" s="25">
        <v>198.54368590000001</v>
      </c>
      <c r="B184" s="25">
        <v>82.536132809999998</v>
      </c>
      <c r="C184" s="25">
        <v>80.839012150000002</v>
      </c>
      <c r="D184" s="25">
        <v>88.104850769999999</v>
      </c>
      <c r="E184" s="25">
        <v>84.869384769999996</v>
      </c>
      <c r="F184" s="25">
        <v>4.8962807660000003</v>
      </c>
      <c r="G184" s="25">
        <v>5.2962646480000002</v>
      </c>
      <c r="H184" s="25">
        <v>22034.712889999999</v>
      </c>
      <c r="I184" s="25">
        <v>22453.072270000001</v>
      </c>
      <c r="J184" s="25">
        <v>180.941925</v>
      </c>
      <c r="K184" s="25">
        <v>99.604400630000001</v>
      </c>
      <c r="L184" s="25">
        <v>15.085000040000001</v>
      </c>
      <c r="M184" s="25">
        <v>0.47799998500000002</v>
      </c>
      <c r="N184" s="25">
        <v>29.354999540000001</v>
      </c>
      <c r="O184" s="25">
        <v>1.097000003</v>
      </c>
      <c r="P184" s="25">
        <v>81.614326480000003</v>
      </c>
      <c r="Q184" s="25">
        <v>80.350486759999995</v>
      </c>
      <c r="R184" s="61">
        <f t="shared" si="5"/>
        <v>167.69067061325703</v>
      </c>
      <c r="S184" s="61">
        <f t="shared" si="4"/>
        <v>151.33964238194474</v>
      </c>
      <c r="T184" s="25">
        <v>10.316356470000001</v>
      </c>
      <c r="U184" s="25">
        <v>11.71052113</v>
      </c>
      <c r="V184" s="25">
        <v>96.928612830000006</v>
      </c>
      <c r="W184" s="25">
        <v>95.929275610000005</v>
      </c>
      <c r="X184" s="25">
        <v>22.026877599999999</v>
      </c>
      <c r="Y184" s="25">
        <v>96.397609290000005</v>
      </c>
    </row>
    <row r="185" spans="1:25" s="25" customFormat="1" x14ac:dyDescent="0.2">
      <c r="A185" s="25">
        <v>199.8045654</v>
      </c>
      <c r="B185" s="25">
        <v>83.119476320000004</v>
      </c>
      <c r="C185" s="25">
        <v>81.684761050000006</v>
      </c>
      <c r="D185" s="25">
        <v>87.213134769999996</v>
      </c>
      <c r="E185" s="25">
        <v>84.66796875</v>
      </c>
      <c r="F185" s="25">
        <v>5.6046752929999997</v>
      </c>
      <c r="G185" s="25">
        <v>5.3049011229999996</v>
      </c>
      <c r="H185" s="25">
        <v>21949.257809999999</v>
      </c>
      <c r="I185" s="25">
        <v>22382.023440000001</v>
      </c>
      <c r="J185" s="25">
        <v>179.0162048</v>
      </c>
      <c r="K185" s="25">
        <v>99.610298159999999</v>
      </c>
      <c r="L185" s="25">
        <v>14.571000099999999</v>
      </c>
      <c r="M185" s="25">
        <v>0.476000011</v>
      </c>
      <c r="N185" s="25">
        <v>29.354999540000001</v>
      </c>
      <c r="O185" s="25">
        <v>1.097000003</v>
      </c>
      <c r="P185" s="25">
        <v>82.061660770000003</v>
      </c>
      <c r="Q185" s="25">
        <v>81.224464420000004</v>
      </c>
      <c r="R185" s="61">
        <f t="shared" si="5"/>
        <v>164.39929829285762</v>
      </c>
      <c r="S185" s="61">
        <f t="shared" si="4"/>
        <v>148.99309147951712</v>
      </c>
      <c r="T185" s="25">
        <v>9.7173033180000008</v>
      </c>
      <c r="U185" s="25">
        <v>11.829920660000001</v>
      </c>
      <c r="V185" s="25">
        <v>96.836578669999994</v>
      </c>
      <c r="W185" s="25">
        <v>96.036694530000005</v>
      </c>
      <c r="X185" s="25">
        <v>21.547223979999998</v>
      </c>
      <c r="Y185" s="25">
        <v>96.397609290000005</v>
      </c>
    </row>
    <row r="186" spans="1:25" s="25" customFormat="1" x14ac:dyDescent="0.2">
      <c r="A186" s="25">
        <v>187.83284</v>
      </c>
      <c r="B186" s="25">
        <v>83.514686580000003</v>
      </c>
      <c r="C186" s="25">
        <v>82.059051510000003</v>
      </c>
      <c r="D186" s="25">
        <v>87.277229309999996</v>
      </c>
      <c r="E186" s="25">
        <v>84.567268369999994</v>
      </c>
      <c r="F186" s="25">
        <v>5.3589782709999998</v>
      </c>
      <c r="G186" s="25">
        <v>5.3830871580000004</v>
      </c>
      <c r="H186" s="25">
        <v>21626.496090000001</v>
      </c>
      <c r="I186" s="25">
        <v>22349.265630000002</v>
      </c>
      <c r="J186" s="25">
        <v>175.93084719999999</v>
      </c>
      <c r="K186" s="25">
        <v>99.62220001</v>
      </c>
      <c r="L186" s="25">
        <v>15.24800014</v>
      </c>
      <c r="M186" s="25">
        <v>0.49900001300000002</v>
      </c>
      <c r="N186" s="25">
        <v>29.528999330000001</v>
      </c>
      <c r="O186" s="25">
        <v>1.144999981</v>
      </c>
      <c r="P186" s="25">
        <v>83.715423580000007</v>
      </c>
      <c r="Q186" s="25">
        <v>81.889862059999999</v>
      </c>
      <c r="R186" s="61">
        <f t="shared" si="5"/>
        <v>194.55154167089771</v>
      </c>
      <c r="S186" s="61">
        <f t="shared" si="4"/>
        <v>188.88874188603856</v>
      </c>
      <c r="T186" s="25">
        <v>12.800093499999999</v>
      </c>
      <c r="U186" s="25">
        <v>16.470674509999998</v>
      </c>
      <c r="V186" s="25">
        <v>96.831142389999997</v>
      </c>
      <c r="W186" s="25">
        <v>95.828415399999997</v>
      </c>
      <c r="X186" s="25">
        <v>29.270768010000001</v>
      </c>
      <c r="Y186" s="25">
        <v>96.267196949999999</v>
      </c>
    </row>
    <row r="187" spans="1:25" s="25" customFormat="1" x14ac:dyDescent="0.2">
      <c r="A187" s="25">
        <v>190.16702269999999</v>
      </c>
      <c r="B187" s="25">
        <v>82.923042300000006</v>
      </c>
      <c r="C187" s="25">
        <v>81.360969539999999</v>
      </c>
      <c r="D187" s="25">
        <v>87.165527339999997</v>
      </c>
      <c r="E187" s="25">
        <v>84.472053529999997</v>
      </c>
      <c r="F187" s="25">
        <v>5.3844199179999999</v>
      </c>
      <c r="G187" s="25">
        <v>5.7044067380000003</v>
      </c>
      <c r="H187" s="25">
        <v>21617.318360000001</v>
      </c>
      <c r="I187" s="25">
        <v>22491.08008</v>
      </c>
      <c r="J187" s="25">
        <v>176.03585820000001</v>
      </c>
      <c r="K187" s="25">
        <v>99.637901310000004</v>
      </c>
      <c r="L187" s="25">
        <v>14.954999920000001</v>
      </c>
      <c r="M187" s="25">
        <v>0.50900000300000003</v>
      </c>
      <c r="N187" s="25">
        <v>29.528999330000001</v>
      </c>
      <c r="O187" s="25">
        <v>1.144999981</v>
      </c>
      <c r="P187" s="25">
        <v>82.872917180000002</v>
      </c>
      <c r="Q187" s="25">
        <v>81.445007320000002</v>
      </c>
      <c r="R187" s="61">
        <f t="shared" si="5"/>
        <v>188.4893263734734</v>
      </c>
      <c r="S187" s="61">
        <f t="shared" si="4"/>
        <v>191.30208522164062</v>
      </c>
      <c r="T187" s="25">
        <v>12.02872144</v>
      </c>
      <c r="U187" s="25">
        <v>17.247540390000001</v>
      </c>
      <c r="V187" s="25">
        <v>96.708484179999999</v>
      </c>
      <c r="W187" s="25">
        <v>95.959165970000001</v>
      </c>
      <c r="X187" s="25">
        <v>29.276261829999999</v>
      </c>
      <c r="Y187" s="25">
        <v>96.267196949999999</v>
      </c>
    </row>
    <row r="188" spans="1:25" s="25" customFormat="1" x14ac:dyDescent="0.2">
      <c r="A188" s="25">
        <v>190.22216800000001</v>
      </c>
      <c r="B188" s="25">
        <v>81.66560364</v>
      </c>
      <c r="C188" s="25">
        <v>80.368865970000002</v>
      </c>
      <c r="D188" s="25">
        <v>87.007904049999993</v>
      </c>
      <c r="E188" s="25">
        <v>84.413902280000002</v>
      </c>
      <c r="F188" s="25">
        <v>5.3369750979999999</v>
      </c>
      <c r="G188" s="25">
        <v>5.8741760249999997</v>
      </c>
      <c r="H188" s="25">
        <v>20922.816409999999</v>
      </c>
      <c r="I188" s="25">
        <v>22498.48633</v>
      </c>
      <c r="J188" s="25">
        <v>176.10597229999999</v>
      </c>
      <c r="K188" s="25">
        <v>99.665801999999999</v>
      </c>
      <c r="L188" s="25">
        <v>14.833999629999999</v>
      </c>
      <c r="M188" s="25">
        <v>0.49000000999999999</v>
      </c>
      <c r="N188" s="25">
        <v>29.528999330000001</v>
      </c>
      <c r="O188" s="25">
        <v>1.144999981</v>
      </c>
      <c r="P188" s="25">
        <v>81.607025149999998</v>
      </c>
      <c r="Q188" s="25">
        <v>80.296875</v>
      </c>
      <c r="R188" s="61">
        <f t="shared" si="5"/>
        <v>188.26153593594768</v>
      </c>
      <c r="S188" s="61">
        <f t="shared" si="4"/>
        <v>185.85198587577668</v>
      </c>
      <c r="T188" s="25">
        <v>11.89732532</v>
      </c>
      <c r="U188" s="25">
        <v>16.528665440000001</v>
      </c>
      <c r="V188" s="25">
        <v>96.802401329999995</v>
      </c>
      <c r="W188" s="25">
        <v>95.881541819999995</v>
      </c>
      <c r="X188" s="25">
        <v>28.42599075</v>
      </c>
      <c r="Y188" s="25">
        <v>96.267196949999999</v>
      </c>
    </row>
    <row r="189" spans="1:25" s="25" customFormat="1" x14ac:dyDescent="0.2">
      <c r="A189" s="25">
        <v>188.90235899999999</v>
      </c>
      <c r="B189" s="25">
        <v>83.08188629</v>
      </c>
      <c r="C189" s="25">
        <v>81.166351320000004</v>
      </c>
      <c r="D189" s="25">
        <v>87.149040220000003</v>
      </c>
      <c r="E189" s="25">
        <v>84.104156489999994</v>
      </c>
      <c r="F189" s="25">
        <v>5.2840881350000002</v>
      </c>
      <c r="G189" s="25">
        <v>5.9446411130000003</v>
      </c>
      <c r="H189" s="25">
        <v>21552.621090000001</v>
      </c>
      <c r="I189" s="25">
        <v>22879.314450000002</v>
      </c>
      <c r="J189" s="25">
        <v>176.2312469</v>
      </c>
      <c r="K189" s="25">
        <v>99.629203799999999</v>
      </c>
      <c r="L189" s="25">
        <v>15.14500046</v>
      </c>
      <c r="M189" s="25">
        <v>0.53700000000000003</v>
      </c>
      <c r="N189" s="25">
        <v>29.524000170000001</v>
      </c>
      <c r="O189" s="25">
        <v>1.3279999490000001</v>
      </c>
      <c r="P189" s="25">
        <v>82.488800049999995</v>
      </c>
      <c r="Q189" s="25">
        <v>80.642791750000001</v>
      </c>
      <c r="R189" s="61">
        <f t="shared" si="5"/>
        <v>169.05166126278965</v>
      </c>
      <c r="S189" s="61">
        <f t="shared" si="4"/>
        <v>151.52803304390903</v>
      </c>
      <c r="T189" s="25">
        <v>11.01628109</v>
      </c>
      <c r="U189" s="25">
        <v>12.481556530000001</v>
      </c>
      <c r="V189" s="25">
        <v>96.575691969999994</v>
      </c>
      <c r="W189" s="25">
        <v>94.917279570000005</v>
      </c>
      <c r="X189" s="25">
        <v>23.497837619999999</v>
      </c>
      <c r="Y189" s="25">
        <v>95.695579069999994</v>
      </c>
    </row>
    <row r="190" spans="1:25" s="25" customFormat="1" x14ac:dyDescent="0.2">
      <c r="A190" s="25">
        <v>194.0064697</v>
      </c>
      <c r="B190" s="25">
        <v>83.953193659999997</v>
      </c>
      <c r="C190" s="25">
        <v>81.572784420000005</v>
      </c>
      <c r="D190" s="25">
        <v>87.387840269999998</v>
      </c>
      <c r="E190" s="25">
        <v>84.556579589999998</v>
      </c>
      <c r="F190" s="25">
        <v>5.238769531</v>
      </c>
      <c r="G190" s="25">
        <v>5.3272094729999999</v>
      </c>
      <c r="H190" s="25">
        <v>21699.792969999999</v>
      </c>
      <c r="I190" s="25">
        <v>22431.453130000002</v>
      </c>
      <c r="J190" s="25">
        <v>178.98266599999999</v>
      </c>
      <c r="K190" s="25">
        <v>99.609596249999996</v>
      </c>
      <c r="L190" s="25">
        <v>14.78199959</v>
      </c>
      <c r="M190" s="25">
        <v>0.49200001399999999</v>
      </c>
      <c r="N190" s="25">
        <v>29.524000170000001</v>
      </c>
      <c r="O190" s="25">
        <v>1.3279999490000001</v>
      </c>
      <c r="P190" s="25">
        <v>83.850219730000006</v>
      </c>
      <c r="Q190" s="25">
        <v>81.570510859999999</v>
      </c>
      <c r="R190" s="61">
        <f t="shared" si="5"/>
        <v>190.55991467750874</v>
      </c>
      <c r="S190" s="61">
        <f t="shared" si="4"/>
        <v>190.48381823604092</v>
      </c>
      <c r="T190" s="25">
        <v>11.776108799999999</v>
      </c>
      <c r="U190" s="25">
        <v>16.991227370000001</v>
      </c>
      <c r="V190" s="25">
        <v>96.778839689999998</v>
      </c>
      <c r="W190" s="25">
        <v>94.94319041</v>
      </c>
      <c r="X190" s="25">
        <v>28.767336159999999</v>
      </c>
      <c r="Y190" s="25">
        <v>95.695579069999994</v>
      </c>
    </row>
    <row r="191" spans="1:25" s="25" customFormat="1" x14ac:dyDescent="0.2">
      <c r="A191" s="25">
        <v>187.8806305</v>
      </c>
      <c r="B191" s="25">
        <v>84.068672179999993</v>
      </c>
      <c r="C191" s="25">
        <v>81.096588130000001</v>
      </c>
      <c r="D191" s="25">
        <v>87.308349609999993</v>
      </c>
      <c r="E191" s="25">
        <v>84.27063751</v>
      </c>
      <c r="F191" s="25">
        <v>5.1863608360000004</v>
      </c>
      <c r="G191" s="25">
        <v>5.720621586</v>
      </c>
      <c r="H191" s="25">
        <v>21416.935549999998</v>
      </c>
      <c r="I191" s="25">
        <v>22265.79883</v>
      </c>
      <c r="J191" s="25">
        <v>178.81088260000001</v>
      </c>
      <c r="K191" s="25">
        <v>99.634002690000003</v>
      </c>
      <c r="L191" s="25">
        <v>14.93799973</v>
      </c>
      <c r="M191" s="25">
        <v>0.49200001399999999</v>
      </c>
      <c r="N191" s="25">
        <v>29.524000170000001</v>
      </c>
      <c r="O191" s="25">
        <v>1.3279999490000001</v>
      </c>
      <c r="P191" s="25">
        <v>83.832916260000005</v>
      </c>
      <c r="Q191" s="25">
        <v>81.093032840000006</v>
      </c>
      <c r="R191" s="61">
        <f t="shared" si="5"/>
        <v>179.9898395963404</v>
      </c>
      <c r="S191" s="61">
        <f t="shared" si="4"/>
        <v>179.87084343288529</v>
      </c>
      <c r="T191" s="25">
        <v>11.599590109999999</v>
      </c>
      <c r="U191" s="25">
        <v>16.443775710000001</v>
      </c>
      <c r="V191" s="25">
        <v>96.811406210000001</v>
      </c>
      <c r="W191" s="25">
        <v>94.906709309999997</v>
      </c>
      <c r="X191" s="25">
        <v>28.043365819999998</v>
      </c>
      <c r="Y191" s="25">
        <v>95.695579069999994</v>
      </c>
    </row>
    <row r="192" spans="1:25" s="25" customFormat="1" x14ac:dyDescent="0.2">
      <c r="A192" s="25">
        <v>198.40957639999999</v>
      </c>
      <c r="B192" s="25">
        <v>82.197982789999998</v>
      </c>
      <c r="C192" s="25">
        <v>82.378990169999994</v>
      </c>
      <c r="D192" s="25">
        <v>87.465667719999999</v>
      </c>
      <c r="E192" s="25">
        <v>84.512321470000003</v>
      </c>
      <c r="F192" s="25">
        <v>5.145019531</v>
      </c>
      <c r="G192" s="25">
        <v>5.4978332520000004</v>
      </c>
      <c r="H192" s="25">
        <v>21475.980469999999</v>
      </c>
      <c r="I192" s="25">
        <v>22268.0625</v>
      </c>
      <c r="J192" s="25">
        <v>180.0907593</v>
      </c>
      <c r="K192" s="25">
        <v>99.584098819999994</v>
      </c>
      <c r="L192" s="25">
        <v>15.14000034</v>
      </c>
      <c r="M192" s="25">
        <v>0.474000007</v>
      </c>
      <c r="N192" s="25">
        <v>30.48200035</v>
      </c>
      <c r="O192" s="25">
        <v>1.1590000389999999</v>
      </c>
      <c r="P192" s="25">
        <v>81.822418209999995</v>
      </c>
      <c r="Q192" s="25">
        <v>82.165534969999996</v>
      </c>
      <c r="R192" s="61">
        <f t="shared" si="5"/>
        <v>185.83936577029067</v>
      </c>
      <c r="S192" s="61">
        <f t="shared" si="4"/>
        <v>178.69498377344024</v>
      </c>
      <c r="T192" s="25">
        <v>11.47994671</v>
      </c>
      <c r="U192" s="25">
        <v>15.569584989999999</v>
      </c>
      <c r="V192" s="25">
        <v>96.964262860000005</v>
      </c>
      <c r="W192" s="25">
        <v>95.873962719999994</v>
      </c>
      <c r="X192" s="25">
        <v>27.04953171</v>
      </c>
      <c r="Y192" s="25">
        <v>96.337030990000002</v>
      </c>
    </row>
    <row r="193" spans="1:25" s="25" customFormat="1" x14ac:dyDescent="0.2">
      <c r="A193" s="25">
        <v>197.35125729999999</v>
      </c>
      <c r="B193" s="25">
        <v>83.231269839999996</v>
      </c>
      <c r="C193" s="25">
        <v>82.275558469999993</v>
      </c>
      <c r="D193" s="25">
        <v>87.515251160000005</v>
      </c>
      <c r="E193" s="25">
        <v>84.686279299999995</v>
      </c>
      <c r="F193" s="25">
        <v>4.8986816409999996</v>
      </c>
      <c r="G193" s="25">
        <v>5.4543457030000004</v>
      </c>
      <c r="H193" s="25">
        <v>20466.316409999999</v>
      </c>
      <c r="I193" s="25">
        <v>22140.404299999998</v>
      </c>
      <c r="J193" s="25">
        <v>181.06991579999999</v>
      </c>
      <c r="K193" s="25">
        <v>99.630798339999998</v>
      </c>
      <c r="L193" s="25">
        <v>14.34300041</v>
      </c>
      <c r="M193" s="25">
        <v>0.48100000599999998</v>
      </c>
      <c r="N193" s="25">
        <v>29.409999849999998</v>
      </c>
      <c r="O193" s="25">
        <v>1.0880000590000001</v>
      </c>
      <c r="P193" s="25">
        <v>82.717140200000003</v>
      </c>
      <c r="Q193" s="25">
        <v>82.202301030000001</v>
      </c>
      <c r="R193" s="61">
        <f t="shared" si="5"/>
        <v>180.14325044861772</v>
      </c>
      <c r="S193" s="61">
        <f t="shared" si="4"/>
        <v>177.6913114212654</v>
      </c>
      <c r="T193" s="25">
        <v>10.61932152</v>
      </c>
      <c r="U193" s="25">
        <v>15.43053366</v>
      </c>
      <c r="V193" s="25">
        <v>96.755261790000006</v>
      </c>
      <c r="W193" s="25">
        <v>96.210322129999994</v>
      </c>
      <c r="X193" s="25">
        <v>26.049855180000002</v>
      </c>
      <c r="Y193" s="25">
        <v>96.432552749999999</v>
      </c>
    </row>
    <row r="194" spans="1:25" s="25" customFormat="1" x14ac:dyDescent="0.2">
      <c r="A194" s="25">
        <v>202.79992680000001</v>
      </c>
      <c r="B194" s="25">
        <v>81.834297179999993</v>
      </c>
      <c r="C194" s="25">
        <v>82.401687620000004</v>
      </c>
      <c r="D194" s="25">
        <v>87.608642579999994</v>
      </c>
      <c r="E194" s="25">
        <v>84.759521480000004</v>
      </c>
      <c r="F194" s="25">
        <v>5.1796669959999999</v>
      </c>
      <c r="G194" s="25">
        <v>5.4838051800000001</v>
      </c>
      <c r="H194" s="25">
        <v>21432.335940000001</v>
      </c>
      <c r="I194" s="25">
        <v>22136.29492</v>
      </c>
      <c r="J194" s="25">
        <v>181.25918580000001</v>
      </c>
      <c r="K194" s="25">
        <v>99.630798339999998</v>
      </c>
      <c r="L194" s="25">
        <v>14.31000042</v>
      </c>
      <c r="M194" s="25">
        <v>0.469999999</v>
      </c>
      <c r="N194" s="25">
        <v>29.409999849999998</v>
      </c>
      <c r="O194" s="25">
        <v>1.0880000590000001</v>
      </c>
      <c r="P194" s="25">
        <v>81.441825870000002</v>
      </c>
      <c r="Q194" s="25">
        <v>82.013908389999997</v>
      </c>
      <c r="R194" s="61">
        <f t="shared" si="5"/>
        <v>189.6638450299412</v>
      </c>
      <c r="S194" s="61">
        <f t="shared" si="4"/>
        <v>176.68480797877265</v>
      </c>
      <c r="T194" s="25">
        <v>10.84704722</v>
      </c>
      <c r="U194" s="25">
        <v>14.35933009</v>
      </c>
      <c r="V194" s="25">
        <v>96.820027159999995</v>
      </c>
      <c r="W194" s="25">
        <v>96.139621180000006</v>
      </c>
      <c r="X194" s="25">
        <v>25.206377310000001</v>
      </c>
      <c r="Y194" s="25">
        <v>96.432552749999999</v>
      </c>
    </row>
    <row r="195" spans="1:25" s="25" customFormat="1" x14ac:dyDescent="0.2">
      <c r="A195" s="25">
        <v>199.35922239999999</v>
      </c>
      <c r="B195" s="25">
        <v>82.262771610000001</v>
      </c>
      <c r="C195" s="25">
        <v>82.064361570000003</v>
      </c>
      <c r="D195" s="25">
        <v>87.215431210000006</v>
      </c>
      <c r="E195" s="25">
        <v>84.393310549999995</v>
      </c>
      <c r="F195" s="25">
        <v>5.2798461909999999</v>
      </c>
      <c r="G195" s="25">
        <v>5.5819091800000002</v>
      </c>
      <c r="H195" s="25">
        <v>21311.70117</v>
      </c>
      <c r="I195" s="25">
        <v>22212.230469999999</v>
      </c>
      <c r="J195" s="25">
        <v>181.58059689999999</v>
      </c>
      <c r="K195" s="25">
        <v>99.563003539999997</v>
      </c>
      <c r="L195" s="25">
        <v>14.321000099999999</v>
      </c>
      <c r="M195" s="25">
        <v>0.45100000499999998</v>
      </c>
      <c r="N195" s="25">
        <v>28.245000839999999</v>
      </c>
      <c r="O195" s="25">
        <v>1.1499999759999999</v>
      </c>
      <c r="P195" s="25">
        <v>81.160865779999995</v>
      </c>
      <c r="Q195" s="25">
        <v>81.514457699999994</v>
      </c>
      <c r="R195" s="61">
        <f t="shared" si="5"/>
        <v>162.47824609173185</v>
      </c>
      <c r="S195" s="61">
        <f t="shared" si="4"/>
        <v>144.07286965289845</v>
      </c>
      <c r="T195" s="25">
        <v>9.4525638539999992</v>
      </c>
      <c r="U195" s="25">
        <v>10.72170537</v>
      </c>
      <c r="V195" s="25">
        <v>96.946926610000006</v>
      </c>
      <c r="W195" s="25">
        <v>95.328878239999995</v>
      </c>
      <c r="X195" s="25">
        <v>20.17426923</v>
      </c>
      <c r="Y195" s="25">
        <v>96.087770219999996</v>
      </c>
    </row>
    <row r="196" spans="1:25" s="25" customFormat="1" x14ac:dyDescent="0.2">
      <c r="A196" s="25">
        <v>197.0257416</v>
      </c>
      <c r="B196" s="25">
        <v>82.775878910000003</v>
      </c>
      <c r="C196" s="25">
        <v>82.570922850000002</v>
      </c>
      <c r="D196" s="25">
        <v>87.390907290000001</v>
      </c>
      <c r="E196" s="25">
        <v>83.988952639999994</v>
      </c>
      <c r="F196" s="25">
        <v>5.2156195639999998</v>
      </c>
      <c r="G196" s="25">
        <v>5.591751575</v>
      </c>
      <c r="H196" s="25">
        <v>21039.074219999999</v>
      </c>
      <c r="I196" s="25">
        <v>21979.86133</v>
      </c>
      <c r="J196" s="25">
        <v>181.81484990000001</v>
      </c>
      <c r="K196" s="25">
        <v>99.617103580000006</v>
      </c>
      <c r="L196" s="25">
        <v>14.057000159999999</v>
      </c>
      <c r="M196" s="25">
        <v>0.46200001200000002</v>
      </c>
      <c r="N196" s="25">
        <v>27.773000719999999</v>
      </c>
      <c r="O196" s="25">
        <v>1.0670000310000001</v>
      </c>
      <c r="P196" s="25">
        <v>82.168281559999997</v>
      </c>
      <c r="Q196" s="25">
        <v>82.478454589999998</v>
      </c>
      <c r="R196" s="61">
        <f t="shared" si="5"/>
        <v>176.68935453295219</v>
      </c>
      <c r="S196" s="61">
        <f t="shared" si="4"/>
        <v>173.59442607946821</v>
      </c>
      <c r="T196" s="25">
        <v>10.218924749999999</v>
      </c>
      <c r="U196" s="25">
        <v>13.89359786</v>
      </c>
      <c r="V196" s="25">
        <v>96.817962620000003</v>
      </c>
      <c r="W196" s="25">
        <v>95.919112380000001</v>
      </c>
      <c r="X196" s="25">
        <v>24.11252262</v>
      </c>
      <c r="Y196" s="25">
        <v>96.300277379999997</v>
      </c>
    </row>
    <row r="197" spans="1:25" s="25" customFormat="1" x14ac:dyDescent="0.2">
      <c r="A197" s="25">
        <v>200.49499510000001</v>
      </c>
      <c r="B197" s="25">
        <v>82.526298519999997</v>
      </c>
      <c r="C197" s="25">
        <v>82.294143680000005</v>
      </c>
      <c r="D197" s="25">
        <v>87.562866209999996</v>
      </c>
      <c r="E197" s="25">
        <v>84.732048030000001</v>
      </c>
      <c r="F197" s="25">
        <v>5.2042441369999999</v>
      </c>
      <c r="G197" s="25">
        <v>5.1666464809999999</v>
      </c>
      <c r="H197" s="25">
        <v>21168.449219999999</v>
      </c>
      <c r="I197" s="25">
        <v>22276.998049999998</v>
      </c>
      <c r="J197" s="25">
        <v>181.848465</v>
      </c>
      <c r="K197" s="25">
        <v>99.559799190000007</v>
      </c>
      <c r="L197" s="25">
        <v>14.269000050000001</v>
      </c>
      <c r="M197" s="25">
        <v>0.47900000199999998</v>
      </c>
      <c r="N197" s="25">
        <v>28.0340004</v>
      </c>
      <c r="O197" s="25">
        <v>1.0800000430000001</v>
      </c>
      <c r="P197" s="25">
        <v>82.134819030000003</v>
      </c>
      <c r="Q197" s="25">
        <v>82.081130979999998</v>
      </c>
      <c r="R197" s="61">
        <f t="shared" si="5"/>
        <v>187.39210971471931</v>
      </c>
      <c r="S197" s="61">
        <f t="shared" si="4"/>
        <v>180.2625382684366</v>
      </c>
      <c r="T197" s="25">
        <v>10.825434939999999</v>
      </c>
      <c r="U197" s="25">
        <v>14.02839374</v>
      </c>
      <c r="V197" s="25">
        <v>96.752101980000006</v>
      </c>
      <c r="W197" s="25">
        <v>95.933851059999995</v>
      </c>
      <c r="X197" s="25">
        <v>24.853828679999999</v>
      </c>
      <c r="Y197" s="25">
        <v>96.290444370000003</v>
      </c>
    </row>
    <row r="198" spans="1:25" s="25" customFormat="1" x14ac:dyDescent="0.2">
      <c r="A198" s="25">
        <v>197.36196899999999</v>
      </c>
      <c r="B198" s="25">
        <v>82.670906070000001</v>
      </c>
      <c r="C198" s="25">
        <v>82.312095639999995</v>
      </c>
      <c r="D198" s="25">
        <v>87.577514649999998</v>
      </c>
      <c r="E198" s="25">
        <v>84.42810059</v>
      </c>
      <c r="F198" s="25">
        <v>5.1819252970000003</v>
      </c>
      <c r="G198" s="25">
        <v>5.1027016639999996</v>
      </c>
      <c r="H198" s="25">
        <v>21534.890630000002</v>
      </c>
      <c r="I198" s="25">
        <v>21840.980469999999</v>
      </c>
      <c r="J198" s="25">
        <v>181.98660280000001</v>
      </c>
      <c r="K198" s="25">
        <v>99.609100339999998</v>
      </c>
      <c r="L198" s="25">
        <v>14.661000250000001</v>
      </c>
      <c r="M198" s="25">
        <v>0.448000014</v>
      </c>
      <c r="N198" s="25">
        <v>29.055999759999999</v>
      </c>
      <c r="O198" s="25">
        <v>1.1150000099999999</v>
      </c>
      <c r="P198" s="25">
        <v>81.896614069999998</v>
      </c>
      <c r="Q198" s="25">
        <v>81.943038939999994</v>
      </c>
      <c r="R198" s="61">
        <f t="shared" si="5"/>
        <v>171.44628353014321</v>
      </c>
      <c r="S198" s="61">
        <f t="shared" ref="S198:S261" si="6">(Q198-C198)*$T$1/100+R198</f>
        <v>159.0938927554183</v>
      </c>
      <c r="T198" s="25">
        <v>10.299259660000001</v>
      </c>
      <c r="U198" s="25">
        <v>12.781341449999999</v>
      </c>
      <c r="V198" s="25">
        <v>97.034879829999994</v>
      </c>
      <c r="W198" s="25">
        <v>95.714863140000006</v>
      </c>
      <c r="X198" s="25">
        <v>23.08060111</v>
      </c>
      <c r="Y198" s="25">
        <v>96.304398199999994</v>
      </c>
    </row>
    <row r="199" spans="1:25" s="25" customFormat="1" x14ac:dyDescent="0.2">
      <c r="A199" s="25">
        <v>191.84786990000001</v>
      </c>
      <c r="B199" s="25">
        <v>81.24484253</v>
      </c>
      <c r="C199" s="25">
        <v>81.931503300000003</v>
      </c>
      <c r="D199" s="25">
        <v>87.286376950000005</v>
      </c>
      <c r="E199" s="25">
        <v>83.666999820000001</v>
      </c>
      <c r="F199" s="25">
        <v>5.8297424319999998</v>
      </c>
      <c r="G199" s="25">
        <v>6.4263916019999998</v>
      </c>
      <c r="H199" s="25">
        <v>23399.855469999999</v>
      </c>
      <c r="I199" s="25">
        <v>22966.931639999999</v>
      </c>
      <c r="J199" s="25">
        <v>167.08958440000001</v>
      </c>
      <c r="K199" s="25">
        <v>99.537101750000005</v>
      </c>
      <c r="L199" s="25">
        <v>16.684000019999999</v>
      </c>
      <c r="M199" s="25">
        <v>0.58700001199999996</v>
      </c>
      <c r="N199" s="25">
        <v>31.38800049</v>
      </c>
      <c r="O199" s="25">
        <v>1.279000044</v>
      </c>
      <c r="P199" s="25">
        <v>81.399742130000007</v>
      </c>
      <c r="Q199" s="25">
        <v>82.108016969999994</v>
      </c>
      <c r="R199" s="61">
        <f t="shared" ref="R199:R262" si="7">(P199-B199)*$T$1/100+A199</f>
        <v>197.03238596500753</v>
      </c>
      <c r="S199" s="61">
        <f t="shared" si="6"/>
        <v>202.94032864406125</v>
      </c>
      <c r="T199" s="25">
        <v>13.93600483</v>
      </c>
      <c r="U199" s="25">
        <v>18.88966808</v>
      </c>
      <c r="V199" s="25">
        <v>96.601239000000007</v>
      </c>
      <c r="W199" s="25">
        <v>95.703277380000003</v>
      </c>
      <c r="X199" s="25">
        <v>32.825672910000002</v>
      </c>
      <c r="Y199" s="25">
        <v>96.084733760000006</v>
      </c>
    </row>
    <row r="200" spans="1:25" s="25" customFormat="1" x14ac:dyDescent="0.2">
      <c r="A200" s="25">
        <v>172.2028656</v>
      </c>
      <c r="B200" s="25">
        <v>82.122856139999996</v>
      </c>
      <c r="C200" s="25">
        <v>82.587699889999996</v>
      </c>
      <c r="D200" s="25">
        <v>86.003112790000003</v>
      </c>
      <c r="E200" s="25">
        <v>83.332824709999997</v>
      </c>
      <c r="F200" s="25">
        <v>6.0722045900000001</v>
      </c>
      <c r="G200" s="25">
        <v>6.4663391109999999</v>
      </c>
      <c r="H200" s="25">
        <v>22730.589840000001</v>
      </c>
      <c r="I200" s="25">
        <v>22687.509770000001</v>
      </c>
      <c r="J200" s="25">
        <v>153.85954280000001</v>
      </c>
      <c r="K200" s="25">
        <v>99.614898679999996</v>
      </c>
      <c r="L200" s="25">
        <v>16.93600082</v>
      </c>
      <c r="M200" s="25">
        <v>0.58200001700000004</v>
      </c>
      <c r="N200" s="25">
        <v>33.16999817</v>
      </c>
      <c r="O200" s="25">
        <v>1.396000028</v>
      </c>
      <c r="P200" s="25">
        <v>81.548950199999993</v>
      </c>
      <c r="Q200" s="25">
        <v>82.231208800000005</v>
      </c>
      <c r="R200" s="61">
        <f t="shared" si="7"/>
        <v>152.99413577930892</v>
      </c>
      <c r="S200" s="61">
        <f t="shared" si="6"/>
        <v>141.06231811717868</v>
      </c>
      <c r="T200" s="25">
        <v>12.21746061</v>
      </c>
      <c r="U200" s="25">
        <v>14.66296316</v>
      </c>
      <c r="V200" s="25">
        <v>96.677702999999994</v>
      </c>
      <c r="W200" s="25">
        <v>95.363551090000001</v>
      </c>
      <c r="X200" s="25">
        <v>26.880423780000001</v>
      </c>
      <c r="Y200" s="25">
        <v>95.961349010000006</v>
      </c>
    </row>
    <row r="201" spans="1:25" s="25" customFormat="1" x14ac:dyDescent="0.2">
      <c r="A201" s="25">
        <v>172.86328130000001</v>
      </c>
      <c r="B201" s="25">
        <v>82.201820369999993</v>
      </c>
      <c r="C201" s="25">
        <v>82.008926389999999</v>
      </c>
      <c r="D201" s="25">
        <v>85.451660160000003</v>
      </c>
      <c r="E201" s="25">
        <v>83.323974609999993</v>
      </c>
      <c r="F201" s="25">
        <v>6.0715942380000003</v>
      </c>
      <c r="G201" s="25">
        <v>6.4463295939999998</v>
      </c>
      <c r="H201" s="25">
        <v>20132.45508</v>
      </c>
      <c r="I201" s="25">
        <v>22585.003909999999</v>
      </c>
      <c r="J201" s="25">
        <v>157.7823334</v>
      </c>
      <c r="K201" s="25">
        <v>99.620399480000003</v>
      </c>
      <c r="L201" s="25">
        <v>15.45600033</v>
      </c>
      <c r="M201" s="25">
        <v>0.56400001</v>
      </c>
      <c r="N201" s="25">
        <v>31.350999829999999</v>
      </c>
      <c r="O201" s="25">
        <v>1.3009999990000001</v>
      </c>
      <c r="P201" s="25">
        <v>81.851913449999998</v>
      </c>
      <c r="Q201" s="25">
        <v>81.66468811</v>
      </c>
      <c r="R201" s="61">
        <f t="shared" si="7"/>
        <v>161.15183693218248</v>
      </c>
      <c r="S201" s="61">
        <f t="shared" si="6"/>
        <v>149.63012291322784</v>
      </c>
      <c r="T201" s="25">
        <v>11.72556649</v>
      </c>
      <c r="U201" s="25">
        <v>15.102595279999999</v>
      </c>
      <c r="V201" s="25">
        <v>96.479400760000004</v>
      </c>
      <c r="W201" s="25">
        <v>95.655085799999995</v>
      </c>
      <c r="X201" s="25">
        <v>26.828161770000001</v>
      </c>
      <c r="Y201" s="25">
        <v>96.015557990000005</v>
      </c>
    </row>
    <row r="202" spans="1:25" s="25" customFormat="1" x14ac:dyDescent="0.2">
      <c r="A202" s="25">
        <v>178.58105470000001</v>
      </c>
      <c r="B202" s="25">
        <v>82.918006899999995</v>
      </c>
      <c r="C202" s="25">
        <v>82.464889529999994</v>
      </c>
      <c r="D202" s="25">
        <v>87.205505369999997</v>
      </c>
      <c r="E202" s="25">
        <v>83.917236329999994</v>
      </c>
      <c r="F202" s="25">
        <v>5.0564575200000004</v>
      </c>
      <c r="G202" s="25">
        <v>5.6553039549999999</v>
      </c>
      <c r="H202" s="25">
        <v>22232.603520000001</v>
      </c>
      <c r="I202" s="25">
        <v>22512.113280000001</v>
      </c>
      <c r="J202" s="25">
        <v>165.14172360000001</v>
      </c>
      <c r="K202" s="25">
        <v>99.621803279999995</v>
      </c>
      <c r="L202" s="25">
        <v>16.14299965</v>
      </c>
      <c r="M202" s="25">
        <v>0.59600001599999997</v>
      </c>
      <c r="N202" s="25">
        <v>31.007999420000001</v>
      </c>
      <c r="O202" s="25">
        <v>1.2890000340000001</v>
      </c>
      <c r="P202" s="25">
        <v>82.339851379999999</v>
      </c>
      <c r="Q202" s="25">
        <v>82.226142879999998</v>
      </c>
      <c r="R202" s="61">
        <f t="shared" si="7"/>
        <v>159.23009071098639</v>
      </c>
      <c r="S202" s="61">
        <f t="shared" si="6"/>
        <v>151.23919956348408</v>
      </c>
      <c r="T202" s="25">
        <v>11.71850601</v>
      </c>
      <c r="U202" s="25">
        <v>14.24439802</v>
      </c>
      <c r="V202" s="25">
        <v>96.439452610000004</v>
      </c>
      <c r="W202" s="25">
        <v>95.654400989999999</v>
      </c>
      <c r="X202" s="25">
        <v>25.962904030000001</v>
      </c>
      <c r="Y202" s="25">
        <v>96.008917060000002</v>
      </c>
    </row>
    <row r="203" spans="1:25" s="25" customFormat="1" x14ac:dyDescent="0.2">
      <c r="A203" s="25">
        <v>178.07986450000001</v>
      </c>
      <c r="B203" s="25">
        <v>82.587745670000004</v>
      </c>
      <c r="C203" s="25">
        <v>82.774459840000006</v>
      </c>
      <c r="D203" s="25">
        <v>86.528320309999998</v>
      </c>
      <c r="E203" s="25">
        <v>83.593132019999999</v>
      </c>
      <c r="F203" s="25">
        <v>5.7990722659999996</v>
      </c>
      <c r="G203" s="25">
        <v>6.1813559529999997</v>
      </c>
      <c r="H203" s="25">
        <v>22519.259770000001</v>
      </c>
      <c r="I203" s="25">
        <v>22516.04492</v>
      </c>
      <c r="J203" s="25">
        <v>161.0690002</v>
      </c>
      <c r="K203" s="25">
        <v>99.632202149999998</v>
      </c>
      <c r="L203" s="25">
        <v>16.134000780000001</v>
      </c>
      <c r="M203" s="25">
        <v>0.527999997</v>
      </c>
      <c r="N203" s="25">
        <v>30.971000669999999</v>
      </c>
      <c r="O203" s="25">
        <v>1.3609999420000001</v>
      </c>
      <c r="P203" s="25">
        <v>82.032546999999994</v>
      </c>
      <c r="Q203" s="25">
        <v>82.337547299999997</v>
      </c>
      <c r="R203" s="61">
        <f t="shared" si="7"/>
        <v>159.49727020094613</v>
      </c>
      <c r="S203" s="61">
        <f t="shared" si="6"/>
        <v>144.87373287332761</v>
      </c>
      <c r="T203" s="25">
        <v>11.71046555</v>
      </c>
      <c r="U203" s="25">
        <v>13.26048585</v>
      </c>
      <c r="V203" s="25">
        <v>96.831112880000006</v>
      </c>
      <c r="W203" s="25">
        <v>94.869505259999997</v>
      </c>
      <c r="X203" s="25">
        <v>24.97095139</v>
      </c>
      <c r="Y203" s="25">
        <v>95.790548319999999</v>
      </c>
    </row>
    <row r="204" spans="1:25" s="25" customFormat="1" x14ac:dyDescent="0.2">
      <c r="A204" s="25">
        <v>176.23519899999999</v>
      </c>
      <c r="B204" s="25">
        <v>81.520294190000001</v>
      </c>
      <c r="C204" s="25">
        <v>82.019844059999997</v>
      </c>
      <c r="D204" s="25">
        <v>86.454772950000006</v>
      </c>
      <c r="E204" s="25">
        <v>83.148193359999993</v>
      </c>
      <c r="F204" s="25">
        <v>5.769500732</v>
      </c>
      <c r="G204" s="25">
        <v>6.4227905270000001</v>
      </c>
      <c r="H204" s="25">
        <v>22269.808590000001</v>
      </c>
      <c r="I204" s="25">
        <v>22385.478520000001</v>
      </c>
      <c r="J204" s="25">
        <v>157.9366302</v>
      </c>
      <c r="K204" s="25">
        <v>99.620399480000003</v>
      </c>
      <c r="L204" s="25">
        <v>16.42200089</v>
      </c>
      <c r="M204" s="25">
        <v>0.612999976</v>
      </c>
      <c r="N204" s="25">
        <v>31.23200035</v>
      </c>
      <c r="O204" s="25">
        <v>1.230000019</v>
      </c>
      <c r="P204" s="25">
        <v>81.277038570000002</v>
      </c>
      <c r="Q204" s="25">
        <v>81.823921200000001</v>
      </c>
      <c r="R204" s="61">
        <f t="shared" si="7"/>
        <v>168.0933918565774</v>
      </c>
      <c r="S204" s="61">
        <f t="shared" si="6"/>
        <v>161.5358202736156</v>
      </c>
      <c r="T204" s="25">
        <v>12.757880439999999</v>
      </c>
      <c r="U204" s="25">
        <v>15.47902229</v>
      </c>
      <c r="V204" s="25">
        <v>96.401526590000003</v>
      </c>
      <c r="W204" s="25">
        <v>96.053819899999993</v>
      </c>
      <c r="X204" s="25">
        <v>28.236902730000001</v>
      </c>
      <c r="Y204" s="25">
        <v>96.210954330000007</v>
      </c>
    </row>
    <row r="205" spans="1:25" s="25" customFormat="1" x14ac:dyDescent="0.2">
      <c r="A205" s="25">
        <v>177.87950129999999</v>
      </c>
      <c r="B205" s="25">
        <v>81.847068789999994</v>
      </c>
      <c r="C205" s="25">
        <v>82.496109009999998</v>
      </c>
      <c r="D205" s="25">
        <v>86.255500789999999</v>
      </c>
      <c r="E205" s="25">
        <v>83.045654299999995</v>
      </c>
      <c r="F205" s="25">
        <v>5.8811850550000004</v>
      </c>
      <c r="G205" s="25">
        <v>6.3851523400000003</v>
      </c>
      <c r="H205" s="25">
        <v>22216.716799999998</v>
      </c>
      <c r="I205" s="25">
        <v>22402.04883</v>
      </c>
      <c r="J205" s="25">
        <v>160.03372189999999</v>
      </c>
      <c r="K205" s="25">
        <v>99.623703000000006</v>
      </c>
      <c r="L205" s="25">
        <v>16.815000529999999</v>
      </c>
      <c r="M205" s="25">
        <v>0.52999997099999996</v>
      </c>
      <c r="N205" s="25">
        <v>31.85400009</v>
      </c>
      <c r="O205" s="25">
        <v>1.1710000039999999</v>
      </c>
      <c r="P205" s="25">
        <v>81.352157590000004</v>
      </c>
      <c r="Q205" s="25">
        <v>82.177169800000001</v>
      </c>
      <c r="R205" s="61">
        <f t="shared" si="7"/>
        <v>161.3147389174504</v>
      </c>
      <c r="S205" s="61">
        <f t="shared" si="6"/>
        <v>150.63978909184911</v>
      </c>
      <c r="T205" s="25">
        <v>12.34270933</v>
      </c>
      <c r="U205" s="25">
        <v>14.19015963</v>
      </c>
      <c r="V205" s="25">
        <v>96.944364620000002</v>
      </c>
      <c r="W205" s="25">
        <v>96.027395870000007</v>
      </c>
      <c r="X205" s="25">
        <v>26.532868959999998</v>
      </c>
      <c r="Y205" s="25">
        <v>96.454201359999999</v>
      </c>
    </row>
    <row r="206" spans="1:25" s="25" customFormat="1" x14ac:dyDescent="0.2">
      <c r="A206" s="25">
        <v>182.72564700000001</v>
      </c>
      <c r="B206" s="25">
        <v>81.825897220000002</v>
      </c>
      <c r="C206" s="25">
        <v>82.131362920000001</v>
      </c>
      <c r="D206" s="25">
        <v>87.01171875</v>
      </c>
      <c r="E206" s="25">
        <v>83.710472109999998</v>
      </c>
      <c r="F206" s="25">
        <v>5.5128478999999997</v>
      </c>
      <c r="G206" s="25">
        <v>5.9886474610000002</v>
      </c>
      <c r="H206" s="25">
        <v>22185.808590000001</v>
      </c>
      <c r="I206" s="25">
        <v>22378.677729999999</v>
      </c>
      <c r="J206" s="25">
        <v>167.4182892</v>
      </c>
      <c r="K206" s="25">
        <v>99.624702450000001</v>
      </c>
      <c r="L206" s="25">
        <v>16.70299911</v>
      </c>
      <c r="M206" s="25">
        <v>0.545000017</v>
      </c>
      <c r="N206" s="25">
        <v>31.416000369999999</v>
      </c>
      <c r="O206" s="25">
        <v>1.233999968</v>
      </c>
      <c r="P206" s="25">
        <v>81.621650700000004</v>
      </c>
      <c r="Q206" s="25">
        <v>81.980636599999997</v>
      </c>
      <c r="R206" s="61">
        <f t="shared" si="7"/>
        <v>175.88948109536358</v>
      </c>
      <c r="S206" s="61">
        <f t="shared" si="6"/>
        <v>170.84464542464883</v>
      </c>
      <c r="T206" s="25">
        <v>13.02913904</v>
      </c>
      <c r="U206" s="25">
        <v>15.939428810000001</v>
      </c>
      <c r="V206" s="25">
        <v>96.8402131</v>
      </c>
      <c r="W206" s="25">
        <v>95.713306340000003</v>
      </c>
      <c r="X206" s="25">
        <v>28.968567849999999</v>
      </c>
      <c r="Y206" s="25">
        <v>96.220520809999996</v>
      </c>
    </row>
    <row r="207" spans="1:25" s="25" customFormat="1" x14ac:dyDescent="0.2">
      <c r="A207" s="25">
        <v>190.3879852</v>
      </c>
      <c r="B207" s="25">
        <v>82.769073489999997</v>
      </c>
      <c r="C207" s="25">
        <v>82.599807740000003</v>
      </c>
      <c r="D207" s="25">
        <v>86.883544920000006</v>
      </c>
      <c r="E207" s="25">
        <v>83.973693850000004</v>
      </c>
      <c r="F207" s="25">
        <v>5.7227172849999999</v>
      </c>
      <c r="G207" s="25">
        <v>5.8205871580000004</v>
      </c>
      <c r="H207" s="25">
        <v>22529.783200000002</v>
      </c>
      <c r="I207" s="25">
        <v>22433.314450000002</v>
      </c>
      <c r="J207" s="25">
        <v>174.0090179</v>
      </c>
      <c r="K207" s="25">
        <v>99.623802190000006</v>
      </c>
      <c r="L207" s="25">
        <v>15.51200008</v>
      </c>
      <c r="M207" s="25">
        <v>0.48899999300000002</v>
      </c>
      <c r="N207" s="25">
        <v>29.73699951</v>
      </c>
      <c r="O207" s="25">
        <v>1.1000000240000001</v>
      </c>
      <c r="P207" s="25">
        <v>81.862304690000002</v>
      </c>
      <c r="Q207" s="25">
        <v>82.456962590000003</v>
      </c>
      <c r="R207" s="61">
        <f t="shared" si="7"/>
        <v>160.03827861039395</v>
      </c>
      <c r="S207" s="61">
        <f t="shared" si="6"/>
        <v>155.25722704548758</v>
      </c>
      <c r="T207" s="25">
        <v>10.55405326</v>
      </c>
      <c r="U207" s="25">
        <v>13.30330786</v>
      </c>
      <c r="V207" s="25">
        <v>96.94394106</v>
      </c>
      <c r="W207" s="25">
        <v>96.026957080000003</v>
      </c>
      <c r="X207" s="25">
        <v>23.85736112</v>
      </c>
      <c r="Y207" s="25">
        <v>96.4328565</v>
      </c>
    </row>
    <row r="208" spans="1:25" s="25" customFormat="1" x14ac:dyDescent="0.2">
      <c r="A208" s="25">
        <v>191.10331729999999</v>
      </c>
      <c r="B208" s="25">
        <v>82.872123720000005</v>
      </c>
      <c r="C208" s="25">
        <v>82.396789549999994</v>
      </c>
      <c r="D208" s="25">
        <v>86.978851320000004</v>
      </c>
      <c r="E208" s="25">
        <v>84.029205320000003</v>
      </c>
      <c r="F208" s="25">
        <v>5.4890260700000004</v>
      </c>
      <c r="G208" s="25">
        <v>5.6825075150000002</v>
      </c>
      <c r="H208" s="25">
        <v>22140.79492</v>
      </c>
      <c r="I208" s="25">
        <v>22349.660159999999</v>
      </c>
      <c r="J208" s="25">
        <v>174.94465640000001</v>
      </c>
      <c r="K208" s="25">
        <v>99.610496519999998</v>
      </c>
      <c r="L208" s="25">
        <v>15.04399967</v>
      </c>
      <c r="M208" s="25">
        <v>0.45300000899999998</v>
      </c>
      <c r="N208" s="25">
        <v>29.815000529999999</v>
      </c>
      <c r="O208" s="25">
        <v>1.041000009</v>
      </c>
      <c r="P208" s="25">
        <v>82.201637270000006</v>
      </c>
      <c r="Q208" s="25">
        <v>82.274757390000005</v>
      </c>
      <c r="R208" s="61">
        <f t="shared" si="7"/>
        <v>168.66202131605496</v>
      </c>
      <c r="S208" s="61">
        <f t="shared" si="6"/>
        <v>164.57758408079107</v>
      </c>
      <c r="T208" s="25">
        <v>10.73185849</v>
      </c>
      <c r="U208" s="25">
        <v>14.47622348</v>
      </c>
      <c r="V208" s="25">
        <v>97.076853470000003</v>
      </c>
      <c r="W208" s="25">
        <v>96.291915189999997</v>
      </c>
      <c r="X208" s="25">
        <v>25.208081969999999</v>
      </c>
      <c r="Y208" s="25">
        <v>96.626263969999997</v>
      </c>
    </row>
    <row r="209" spans="1:25" s="25" customFormat="1" x14ac:dyDescent="0.2">
      <c r="A209" s="25">
        <v>194.29197690000001</v>
      </c>
      <c r="B209" s="25">
        <v>81.821151729999997</v>
      </c>
      <c r="C209" s="25">
        <v>82.440147400000001</v>
      </c>
      <c r="D209" s="25">
        <v>86.953125</v>
      </c>
      <c r="E209" s="25">
        <v>83.743278500000002</v>
      </c>
      <c r="F209" s="25">
        <v>5.9348549840000002</v>
      </c>
      <c r="G209" s="25">
        <v>6.0839438440000002</v>
      </c>
      <c r="H209" s="25">
        <v>22468.304690000001</v>
      </c>
      <c r="I209" s="25">
        <v>22334.640630000002</v>
      </c>
      <c r="J209" s="25">
        <v>175.06843570000001</v>
      </c>
      <c r="K209" s="25">
        <v>99.647399899999996</v>
      </c>
      <c r="L209" s="25">
        <v>15.07900047</v>
      </c>
      <c r="M209" s="25">
        <v>0.48899999300000002</v>
      </c>
      <c r="N209" s="25">
        <v>29.923000340000002</v>
      </c>
      <c r="O209" s="25">
        <v>1.083999991</v>
      </c>
      <c r="P209" s="25">
        <v>81.220123290000004</v>
      </c>
      <c r="Q209" s="25">
        <v>82.261703490000002</v>
      </c>
      <c r="R209" s="61">
        <f t="shared" si="7"/>
        <v>174.1754523724594</v>
      </c>
      <c r="S209" s="61">
        <f t="shared" si="6"/>
        <v>168.20290423096836</v>
      </c>
      <c r="T209" s="25">
        <v>10.949469990000001</v>
      </c>
      <c r="U209" s="25">
        <v>14.509296519999999</v>
      </c>
      <c r="V209" s="25">
        <v>96.858941560000005</v>
      </c>
      <c r="W209" s="25">
        <v>96.235974110000001</v>
      </c>
      <c r="X209" s="25">
        <v>25.458766499999999</v>
      </c>
      <c r="Y209" s="25">
        <v>96.504015289999998</v>
      </c>
    </row>
    <row r="210" spans="1:25" s="25" customFormat="1" x14ac:dyDescent="0.2">
      <c r="A210" s="25">
        <v>191.30342099999999</v>
      </c>
      <c r="B210" s="25">
        <v>82.781906129999996</v>
      </c>
      <c r="C210" s="25">
        <v>82.65798187</v>
      </c>
      <c r="D210" s="25">
        <v>87.057502749999998</v>
      </c>
      <c r="E210" s="25">
        <v>83.560173030000001</v>
      </c>
      <c r="F210" s="25">
        <v>5.3920083050000001</v>
      </c>
      <c r="G210" s="25">
        <v>6.1407265659999997</v>
      </c>
      <c r="H210" s="25">
        <v>21696.822270000001</v>
      </c>
      <c r="I210" s="25">
        <v>22299.503909999999</v>
      </c>
      <c r="J210" s="25">
        <v>173.97940059999999</v>
      </c>
      <c r="K210" s="25">
        <v>99.646400450000002</v>
      </c>
      <c r="L210" s="25">
        <v>15.35700035</v>
      </c>
      <c r="M210" s="25">
        <v>0.46700000800000002</v>
      </c>
      <c r="N210" s="25">
        <v>29.975999829999999</v>
      </c>
      <c r="O210" s="25">
        <v>1.0590000150000001</v>
      </c>
      <c r="P210" s="25">
        <v>82.0434494</v>
      </c>
      <c r="Q210" s="25">
        <v>82.625007629999999</v>
      </c>
      <c r="R210" s="61">
        <f t="shared" si="7"/>
        <v>166.58714813681817</v>
      </c>
      <c r="S210" s="61">
        <f t="shared" si="6"/>
        <v>165.4834946928363</v>
      </c>
      <c r="T210" s="25">
        <v>10.80863978</v>
      </c>
      <c r="U210" s="25">
        <v>14.65054464</v>
      </c>
      <c r="V210" s="25">
        <v>97.048786669999998</v>
      </c>
      <c r="W210" s="25">
        <v>96.247248519999999</v>
      </c>
      <c r="X210" s="25">
        <v>25.45918442</v>
      </c>
      <c r="Y210" s="25">
        <v>96.58772347</v>
      </c>
    </row>
    <row r="211" spans="1:25" s="25" customFormat="1" x14ac:dyDescent="0.2">
      <c r="A211" s="25">
        <v>213.0180359</v>
      </c>
      <c r="B211" s="25">
        <v>80.299583440000006</v>
      </c>
      <c r="C211" s="25">
        <v>81.211608889999994</v>
      </c>
      <c r="D211" s="25">
        <v>87.496955869999994</v>
      </c>
      <c r="E211" s="25">
        <v>83.252571110000005</v>
      </c>
      <c r="F211" s="25">
        <v>5.6666464809999999</v>
      </c>
      <c r="G211" s="25">
        <v>5.4303588869999997</v>
      </c>
      <c r="H211" s="25">
        <v>22041.501950000002</v>
      </c>
      <c r="I211" s="25">
        <v>23874.060549999998</v>
      </c>
      <c r="J211" s="25">
        <v>188.87002559999999</v>
      </c>
      <c r="K211" s="25">
        <v>99.769599909999997</v>
      </c>
      <c r="L211" s="25">
        <v>14.11200047</v>
      </c>
      <c r="M211" s="25">
        <v>0.40599998799999998</v>
      </c>
      <c r="N211" s="25">
        <v>28.68600082</v>
      </c>
      <c r="O211" s="25">
        <v>1.019999981</v>
      </c>
      <c r="P211" s="25">
        <v>80.137733460000007</v>
      </c>
      <c r="Q211" s="25">
        <v>80.774681090000001</v>
      </c>
      <c r="R211" s="61">
        <f t="shared" si="7"/>
        <v>207.60088942944034</v>
      </c>
      <c r="S211" s="61">
        <f t="shared" si="6"/>
        <v>192.97684134701635</v>
      </c>
      <c r="T211" s="25">
        <v>11.08256669</v>
      </c>
      <c r="U211" s="25">
        <v>14.40732832</v>
      </c>
      <c r="V211" s="25">
        <v>97.203471719999996</v>
      </c>
      <c r="W211" s="25">
        <v>96.075609380000003</v>
      </c>
      <c r="X211" s="25">
        <v>25.489895010000001</v>
      </c>
      <c r="Y211" s="25">
        <v>96.566350389999997</v>
      </c>
    </row>
    <row r="212" spans="1:25" s="25" customFormat="1" x14ac:dyDescent="0.2">
      <c r="A212" s="25">
        <v>195.33924870000001</v>
      </c>
      <c r="B212" s="25">
        <v>79.80873871</v>
      </c>
      <c r="C212" s="25">
        <v>81.278915409999996</v>
      </c>
      <c r="D212" s="25">
        <v>87.447509769999996</v>
      </c>
      <c r="E212" s="25">
        <v>83.012695309999998</v>
      </c>
      <c r="F212" s="25">
        <v>5.4804077150000001</v>
      </c>
      <c r="G212" s="25">
        <v>5.5760498050000002</v>
      </c>
      <c r="H212" s="25">
        <v>21877.195309999999</v>
      </c>
      <c r="I212" s="25">
        <v>24110.34375</v>
      </c>
      <c r="J212" s="25">
        <v>182.85485840000001</v>
      </c>
      <c r="K212" s="25">
        <v>99.757202149999998</v>
      </c>
      <c r="L212" s="25">
        <v>14.536000250000001</v>
      </c>
      <c r="M212" s="25">
        <v>0.42899999</v>
      </c>
      <c r="N212" s="25">
        <v>29.19499969</v>
      </c>
      <c r="O212" s="25">
        <v>1.049000025</v>
      </c>
      <c r="P212" s="25">
        <v>79.572036740000001</v>
      </c>
      <c r="Q212" s="25">
        <v>81.073951719999997</v>
      </c>
      <c r="R212" s="61">
        <f t="shared" si="7"/>
        <v>187.41679334127821</v>
      </c>
      <c r="S212" s="61">
        <f t="shared" si="6"/>
        <v>180.55662363426691</v>
      </c>
      <c r="T212" s="25">
        <v>11.24879722</v>
      </c>
      <c r="U212" s="25">
        <v>15.234364920000001</v>
      </c>
      <c r="V212" s="25">
        <v>97.133311169999999</v>
      </c>
      <c r="W212" s="25">
        <v>96.086663509999994</v>
      </c>
      <c r="X212" s="25">
        <v>26.483162140000001</v>
      </c>
      <c r="Y212" s="25">
        <v>96.531543330000005</v>
      </c>
    </row>
    <row r="213" spans="1:25" s="25" customFormat="1" x14ac:dyDescent="0.2">
      <c r="A213" s="25">
        <v>190.92933650000001</v>
      </c>
      <c r="B213" s="25">
        <v>84.881904599999999</v>
      </c>
      <c r="C213" s="25">
        <v>83.443023679999996</v>
      </c>
      <c r="D213" s="25">
        <v>86.656188959999994</v>
      </c>
      <c r="E213" s="25">
        <v>82.582092290000006</v>
      </c>
      <c r="F213" s="25">
        <v>5.9056396480000002</v>
      </c>
      <c r="G213" s="25">
        <v>5.7254943850000002</v>
      </c>
      <c r="H213" s="25">
        <v>21865.39258</v>
      </c>
      <c r="I213" s="25">
        <v>23926.109380000002</v>
      </c>
      <c r="J213" s="25">
        <v>173.30859380000001</v>
      </c>
      <c r="K213" s="25">
        <v>99.726097109999998</v>
      </c>
      <c r="L213" s="25">
        <v>14.1420002</v>
      </c>
      <c r="M213" s="25">
        <v>0.414000005</v>
      </c>
      <c r="N213" s="25">
        <v>29.849000929999999</v>
      </c>
      <c r="O213" s="25">
        <v>1.093000054</v>
      </c>
      <c r="P213" s="25">
        <v>84.872917180000002</v>
      </c>
      <c r="Q213" s="25">
        <v>83.448516850000004</v>
      </c>
      <c r="R213" s="61">
        <f t="shared" si="7"/>
        <v>190.62852601777183</v>
      </c>
      <c r="S213" s="61">
        <f t="shared" si="6"/>
        <v>190.81238335576921</v>
      </c>
      <c r="T213" s="25">
        <v>11.38915862</v>
      </c>
      <c r="U213" s="25">
        <v>17.916867459999999</v>
      </c>
      <c r="V213" s="25">
        <v>97.155812040000001</v>
      </c>
      <c r="W213" s="25">
        <v>96.029523929999996</v>
      </c>
      <c r="X213" s="25">
        <v>29.30602609</v>
      </c>
      <c r="Y213" s="25">
        <v>96.467584450000004</v>
      </c>
    </row>
    <row r="214" spans="1:25" s="25" customFormat="1" x14ac:dyDescent="0.2">
      <c r="A214" s="25">
        <v>185.052887</v>
      </c>
      <c r="B214" s="25">
        <v>79.259613040000005</v>
      </c>
      <c r="C214" s="25">
        <v>80.284217830000003</v>
      </c>
      <c r="D214" s="25">
        <v>86.152961730000001</v>
      </c>
      <c r="E214" s="25">
        <v>81.443481449999993</v>
      </c>
      <c r="F214" s="25">
        <v>6.7374472619999999</v>
      </c>
      <c r="G214" s="25">
        <v>6.7806601520000003</v>
      </c>
      <c r="H214" s="25">
        <v>21989.20117</v>
      </c>
      <c r="I214" s="25">
        <v>23957.48242</v>
      </c>
      <c r="J214" s="25">
        <v>171.97798159999999</v>
      </c>
      <c r="K214" s="25">
        <v>99.730102540000004</v>
      </c>
      <c r="L214" s="25">
        <v>14.833999629999999</v>
      </c>
      <c r="M214" s="25">
        <v>0.42399999500000002</v>
      </c>
      <c r="N214" s="25">
        <v>31.631000520000001</v>
      </c>
      <c r="O214" s="25">
        <v>1.1440000530000001</v>
      </c>
      <c r="P214" s="25">
        <v>79.373435970000003</v>
      </c>
      <c r="Q214" s="25">
        <v>80.143081670000001</v>
      </c>
      <c r="R214" s="61">
        <f t="shared" si="7"/>
        <v>188.86255990523142</v>
      </c>
      <c r="S214" s="61">
        <f t="shared" si="6"/>
        <v>184.13870852747803</v>
      </c>
      <c r="T214" s="25">
        <v>12.202007979999999</v>
      </c>
      <c r="U214" s="25">
        <v>18.70292581</v>
      </c>
      <c r="V214" s="25">
        <v>97.221129860000005</v>
      </c>
      <c r="W214" s="25">
        <v>96.044641810000002</v>
      </c>
      <c r="X214" s="25">
        <v>30.90493378</v>
      </c>
      <c r="Y214" s="25">
        <v>96.509534599999995</v>
      </c>
    </row>
    <row r="215" spans="1:25" s="25" customFormat="1" x14ac:dyDescent="0.2">
      <c r="A215" s="25">
        <v>189.2232971</v>
      </c>
      <c r="B215" s="25">
        <v>81.404151920000004</v>
      </c>
      <c r="C215" s="25">
        <v>81.520729059999994</v>
      </c>
      <c r="D215" s="25">
        <v>86.434944150000007</v>
      </c>
      <c r="E215" s="25">
        <v>82.287597660000003</v>
      </c>
      <c r="F215" s="25">
        <v>6.466308594</v>
      </c>
      <c r="G215" s="25">
        <v>6.0963439939999997</v>
      </c>
      <c r="H215" s="25">
        <v>21940.921880000002</v>
      </c>
      <c r="I215" s="25">
        <v>23739.902340000001</v>
      </c>
      <c r="J215" s="25">
        <v>172.04750060000001</v>
      </c>
      <c r="K215" s="25">
        <v>99.727996829999995</v>
      </c>
      <c r="L215" s="25">
        <v>14.239000320000001</v>
      </c>
      <c r="M215" s="25">
        <v>0.42500001199999998</v>
      </c>
      <c r="N215" s="25">
        <v>29.15600014</v>
      </c>
      <c r="O215" s="25">
        <v>1.0049999949999999</v>
      </c>
      <c r="P215" s="25">
        <v>81.01813507</v>
      </c>
      <c r="Q215" s="25">
        <v>81.228042599999995</v>
      </c>
      <c r="R215" s="61">
        <f t="shared" si="7"/>
        <v>176.3032472084023</v>
      </c>
      <c r="S215" s="61">
        <f t="shared" si="6"/>
        <v>166.50698140861905</v>
      </c>
      <c r="T215" s="25">
        <v>10.70759056</v>
      </c>
      <c r="U215" s="25">
        <v>14.438365210000001</v>
      </c>
      <c r="V215" s="25">
        <v>97.10174576</v>
      </c>
      <c r="W215" s="25">
        <v>96.345841530000001</v>
      </c>
      <c r="X215" s="25">
        <v>25.14595577</v>
      </c>
      <c r="Y215" s="25">
        <v>96.667882399999996</v>
      </c>
    </row>
    <row r="216" spans="1:25" s="25" customFormat="1" x14ac:dyDescent="0.2">
      <c r="A216" s="25">
        <v>204.77169799999999</v>
      </c>
      <c r="B216" s="25">
        <v>81.693222050000003</v>
      </c>
      <c r="C216" s="25">
        <v>82.755378719999996</v>
      </c>
      <c r="D216" s="25">
        <v>87.250518799999995</v>
      </c>
      <c r="E216" s="25">
        <v>82.411956790000005</v>
      </c>
      <c r="F216" s="25">
        <v>6.0017089840000004</v>
      </c>
      <c r="G216" s="25">
        <v>5.6679077150000001</v>
      </c>
      <c r="H216" s="25">
        <v>22255.878909999999</v>
      </c>
      <c r="I216" s="25">
        <v>23950.45508</v>
      </c>
      <c r="J216" s="25">
        <v>188.92782589999999</v>
      </c>
      <c r="K216" s="25">
        <v>99.730003359999998</v>
      </c>
      <c r="L216" s="25">
        <v>13.652999879999999</v>
      </c>
      <c r="M216" s="25">
        <v>0.50099998700000004</v>
      </c>
      <c r="N216" s="25">
        <v>28.076999659999998</v>
      </c>
      <c r="O216" s="25">
        <v>1.057000041</v>
      </c>
      <c r="P216" s="25">
        <v>81.450729370000005</v>
      </c>
      <c r="Q216" s="25">
        <v>82.747322080000004</v>
      </c>
      <c r="R216" s="61">
        <f t="shared" si="7"/>
        <v>196.65542658866866</v>
      </c>
      <c r="S216" s="61">
        <f t="shared" si="6"/>
        <v>196.38576947199476</v>
      </c>
      <c r="T216" s="25">
        <v>10.66070966</v>
      </c>
      <c r="U216" s="25">
        <v>15.82102531</v>
      </c>
      <c r="V216" s="25">
        <v>96.460364620000007</v>
      </c>
      <c r="W216" s="25">
        <v>96.312340320000004</v>
      </c>
      <c r="X216" s="25">
        <v>26.481734970000002</v>
      </c>
      <c r="Y216" s="25">
        <v>96.371936390000002</v>
      </c>
    </row>
    <row r="217" spans="1:25" s="25" customFormat="1" x14ac:dyDescent="0.2">
      <c r="A217" s="25">
        <v>206.75473020000001</v>
      </c>
      <c r="B217" s="25">
        <v>81.877769470000004</v>
      </c>
      <c r="C217" s="25">
        <v>82.57016754</v>
      </c>
      <c r="D217" s="25">
        <v>87.852180480000001</v>
      </c>
      <c r="E217" s="25">
        <v>83.049316410000003</v>
      </c>
      <c r="F217" s="25">
        <v>5.3733315470000003</v>
      </c>
      <c r="G217" s="25">
        <v>5.1626992229999997</v>
      </c>
      <c r="H217" s="25">
        <v>21898.941409999999</v>
      </c>
      <c r="I217" s="25">
        <v>24042.259770000001</v>
      </c>
      <c r="J217" s="25">
        <v>190.72663879999999</v>
      </c>
      <c r="K217" s="25">
        <v>99.716400149999998</v>
      </c>
      <c r="L217" s="25">
        <v>13.930999760000001</v>
      </c>
      <c r="M217" s="25">
        <v>0.45300000899999998</v>
      </c>
      <c r="N217" s="25">
        <v>27.78100014</v>
      </c>
      <c r="O217" s="25">
        <v>1.0549999480000001</v>
      </c>
      <c r="P217" s="25">
        <v>81.45515442</v>
      </c>
      <c r="Q217" s="25">
        <v>82.380104059999994</v>
      </c>
      <c r="R217" s="61">
        <f t="shared" si="7"/>
        <v>192.60973230433808</v>
      </c>
      <c r="S217" s="61">
        <f t="shared" si="6"/>
        <v>186.2482751706126</v>
      </c>
      <c r="T217" s="25">
        <v>10.505922890000001</v>
      </c>
      <c r="U217" s="25">
        <v>14.11774999</v>
      </c>
      <c r="V217" s="25">
        <v>96.850667290000004</v>
      </c>
      <c r="W217" s="25">
        <v>95.961990670000006</v>
      </c>
      <c r="X217" s="25">
        <v>24.62367287</v>
      </c>
      <c r="Y217" s="25">
        <v>96.341379020000005</v>
      </c>
    </row>
    <row r="218" spans="1:25" s="25" customFormat="1" x14ac:dyDescent="0.2">
      <c r="A218" s="25">
        <v>226.6586609</v>
      </c>
      <c r="B218" s="25">
        <v>80.259536740000001</v>
      </c>
      <c r="C218" s="25">
        <v>80.975250239999994</v>
      </c>
      <c r="D218" s="25">
        <v>89.055175779999999</v>
      </c>
      <c r="E218" s="25">
        <v>84.331054690000002</v>
      </c>
      <c r="F218" s="25">
        <v>4.9801430699999996</v>
      </c>
      <c r="G218" s="25">
        <v>4.8096108439999998</v>
      </c>
      <c r="H218" s="25">
        <v>23683.671880000002</v>
      </c>
      <c r="I218" s="25">
        <v>24874.08008</v>
      </c>
      <c r="J218" s="25">
        <v>204.2144318</v>
      </c>
      <c r="K218" s="25">
        <v>99.750396730000006</v>
      </c>
      <c r="L218" s="25">
        <v>14.135999679999999</v>
      </c>
      <c r="M218" s="25">
        <v>0.474000007</v>
      </c>
      <c r="N218" s="25">
        <v>33.112998959999999</v>
      </c>
      <c r="O218" s="25">
        <v>1.136999965</v>
      </c>
      <c r="P218" s="25">
        <v>79.761398319999998</v>
      </c>
      <c r="Q218" s="25">
        <v>80.789085389999997</v>
      </c>
      <c r="R218" s="61">
        <f t="shared" si="7"/>
        <v>209.98588291292089</v>
      </c>
      <c r="S218" s="61">
        <f t="shared" si="6"/>
        <v>203.75491359108497</v>
      </c>
      <c r="T218" s="25">
        <v>10.60962475</v>
      </c>
      <c r="U218" s="25">
        <v>18.555044509999998</v>
      </c>
      <c r="V218" s="25">
        <v>96.7556467</v>
      </c>
      <c r="W218" s="25">
        <v>96.637198769999998</v>
      </c>
      <c r="X218" s="25">
        <v>29.164669249999999</v>
      </c>
      <c r="Y218" s="25">
        <v>96.680291969999999</v>
      </c>
    </row>
    <row r="219" spans="1:25" s="25" customFormat="1" x14ac:dyDescent="0.2">
      <c r="A219" s="25">
        <v>222.771286</v>
      </c>
      <c r="B219" s="25">
        <v>80.138679499999995</v>
      </c>
      <c r="C219" s="25">
        <v>80.502960209999998</v>
      </c>
      <c r="D219" s="25">
        <v>88.868408200000005</v>
      </c>
      <c r="E219" s="25">
        <v>84.204719539999999</v>
      </c>
      <c r="F219" s="25">
        <v>5.1961059570000003</v>
      </c>
      <c r="G219" s="25">
        <v>4.9460449219999996</v>
      </c>
      <c r="H219" s="25">
        <v>23403.074219999999</v>
      </c>
      <c r="I219" s="25">
        <v>24886.478520000001</v>
      </c>
      <c r="J219" s="25">
        <v>204.0684814</v>
      </c>
      <c r="K219" s="25">
        <v>99.723297119999998</v>
      </c>
      <c r="L219" s="25">
        <v>13.65499973</v>
      </c>
      <c r="M219" s="25">
        <v>0.44499999299999998</v>
      </c>
      <c r="N219" s="25">
        <v>27.40600014</v>
      </c>
      <c r="O219" s="25">
        <v>1.077000022</v>
      </c>
      <c r="P219" s="25">
        <v>80.093566890000005</v>
      </c>
      <c r="Q219" s="25">
        <v>80.492279049999993</v>
      </c>
      <c r="R219" s="61">
        <f t="shared" si="7"/>
        <v>221.26135923918619</v>
      </c>
      <c r="S219" s="61">
        <f t="shared" si="6"/>
        <v>220.90385898990903</v>
      </c>
      <c r="T219" s="25">
        <v>10.97919765</v>
      </c>
      <c r="U219" s="25">
        <v>15.7966408</v>
      </c>
      <c r="V219" s="25">
        <v>96.843971620000005</v>
      </c>
      <c r="W219" s="25">
        <v>95.783740449999996</v>
      </c>
      <c r="X219" s="25">
        <v>26.775838449999998</v>
      </c>
      <c r="Y219" s="25">
        <v>96.218797120000005</v>
      </c>
    </row>
    <row r="220" spans="1:25" s="25" customFormat="1" x14ac:dyDescent="0.2">
      <c r="A220" s="25">
        <v>221.03160099999999</v>
      </c>
      <c r="B220" s="25">
        <v>80.339530940000003</v>
      </c>
      <c r="C220" s="25">
        <v>82.030166629999997</v>
      </c>
      <c r="D220" s="25">
        <v>89.025878910000003</v>
      </c>
      <c r="E220" s="25">
        <v>84.722900390000007</v>
      </c>
      <c r="F220" s="25">
        <v>5.0555014610000004</v>
      </c>
      <c r="G220" s="25">
        <v>4.6016235349999999</v>
      </c>
      <c r="H220" s="25">
        <v>23641.632809999999</v>
      </c>
      <c r="I220" s="25">
        <v>24871.818360000001</v>
      </c>
      <c r="J220" s="25">
        <v>204.1895294</v>
      </c>
      <c r="K220" s="25">
        <v>99.721801760000005</v>
      </c>
      <c r="L220" s="25">
        <v>14.088000299999999</v>
      </c>
      <c r="M220" s="25">
        <v>0.463999987</v>
      </c>
      <c r="N220" s="25">
        <v>28.399999619999999</v>
      </c>
      <c r="O220" s="25">
        <v>1.1069999930000001</v>
      </c>
      <c r="P220" s="25">
        <v>79.888755799999998</v>
      </c>
      <c r="Q220" s="25">
        <v>81.920715329999993</v>
      </c>
      <c r="R220" s="61">
        <f t="shared" si="7"/>
        <v>205.94408008299357</v>
      </c>
      <c r="S220" s="61">
        <f t="shared" si="6"/>
        <v>202.28072638042784</v>
      </c>
      <c r="T220" s="25">
        <v>10.63030749</v>
      </c>
      <c r="U220" s="25">
        <v>14.96910156</v>
      </c>
      <c r="V220" s="25">
        <v>96.811435009999997</v>
      </c>
      <c r="W220" s="25">
        <v>95.848020460000001</v>
      </c>
      <c r="X220" s="25">
        <v>25.599409049999998</v>
      </c>
      <c r="Y220" s="25">
        <v>96.248347820000006</v>
      </c>
    </row>
    <row r="221" spans="1:25" s="25" customFormat="1" x14ac:dyDescent="0.2">
      <c r="A221" s="25">
        <v>222.7889404</v>
      </c>
      <c r="B221" s="25">
        <v>80.882720950000007</v>
      </c>
      <c r="C221" s="25">
        <v>80.416801449999994</v>
      </c>
      <c r="D221" s="25">
        <v>88.359832760000003</v>
      </c>
      <c r="E221" s="25">
        <v>83.437347410000001</v>
      </c>
      <c r="F221" s="25">
        <v>5.5507202150000001</v>
      </c>
      <c r="G221" s="25">
        <v>5.4004516599999999</v>
      </c>
      <c r="H221" s="25">
        <v>23436.85742</v>
      </c>
      <c r="I221" s="25">
        <v>24647.851559999999</v>
      </c>
      <c r="J221" s="25">
        <v>199.89654540000001</v>
      </c>
      <c r="K221" s="25">
        <v>99.714103699999995</v>
      </c>
      <c r="L221" s="25">
        <v>13.498999599999999</v>
      </c>
      <c r="M221" s="25">
        <v>0.46300000000000002</v>
      </c>
      <c r="N221" s="25">
        <v>29.981000900000002</v>
      </c>
      <c r="O221" s="25">
        <v>1.1629999879999999</v>
      </c>
      <c r="P221" s="25">
        <v>80.450561519999994</v>
      </c>
      <c r="Q221" s="25">
        <v>80.280265810000003</v>
      </c>
      <c r="R221" s="61">
        <f t="shared" si="7"/>
        <v>208.32449047579456</v>
      </c>
      <c r="S221" s="61">
        <f t="shared" si="6"/>
        <v>203.75461928809619</v>
      </c>
      <c r="T221" s="25">
        <v>10.23813605</v>
      </c>
      <c r="U221" s="25">
        <v>16.765216469999999</v>
      </c>
      <c r="V221" s="25">
        <v>96.683856090000006</v>
      </c>
      <c r="W221" s="25">
        <v>96.010194240000004</v>
      </c>
      <c r="X221" s="25">
        <v>27.00335252</v>
      </c>
      <c r="Y221" s="25">
        <v>96.265733510000004</v>
      </c>
    </row>
    <row r="222" spans="1:25" s="25" customFormat="1" x14ac:dyDescent="0.2">
      <c r="A222" s="25">
        <v>216.55247499999999</v>
      </c>
      <c r="B222" s="25">
        <v>80.530685419999998</v>
      </c>
      <c r="C222" s="25">
        <v>80.759750370000006</v>
      </c>
      <c r="D222" s="25">
        <v>88.222045899999998</v>
      </c>
      <c r="E222" s="25">
        <v>83.364257809999998</v>
      </c>
      <c r="F222" s="25">
        <v>5.563558102</v>
      </c>
      <c r="G222" s="25">
        <v>5.4846191409999996</v>
      </c>
      <c r="H222" s="25">
        <v>23422.480469999999</v>
      </c>
      <c r="I222" s="25">
        <v>24811.769530000001</v>
      </c>
      <c r="J222" s="25">
        <v>199.88987729999999</v>
      </c>
      <c r="K222" s="25">
        <v>99.696601869999995</v>
      </c>
      <c r="L222" s="25">
        <v>13.838999749999999</v>
      </c>
      <c r="M222" s="25">
        <v>0.51800000700000004</v>
      </c>
      <c r="N222" s="25">
        <v>29.847999569999999</v>
      </c>
      <c r="O222" s="25">
        <v>1.166000009</v>
      </c>
      <c r="P222" s="25">
        <v>80.244544980000001</v>
      </c>
      <c r="Q222" s="25">
        <v>80.483192439999996</v>
      </c>
      <c r="R222" s="61">
        <f t="shared" si="7"/>
        <v>206.97530560751457</v>
      </c>
      <c r="S222" s="61">
        <f t="shared" si="6"/>
        <v>197.71886446118361</v>
      </c>
      <c r="T222" s="25">
        <v>10.76639269</v>
      </c>
      <c r="U222" s="25">
        <v>16.08465786</v>
      </c>
      <c r="V222" s="25">
        <v>96.392003790000004</v>
      </c>
      <c r="W222" s="25">
        <v>96.13890524</v>
      </c>
      <c r="X222" s="25">
        <v>26.85105055</v>
      </c>
      <c r="Y222" s="25">
        <v>96.240407480000002</v>
      </c>
    </row>
    <row r="223" spans="1:25" s="25" customFormat="1" x14ac:dyDescent="0.2">
      <c r="A223" s="25">
        <v>215.38586430000001</v>
      </c>
      <c r="B223" s="25">
        <v>80.834510800000004</v>
      </c>
      <c r="C223" s="25">
        <v>81.197364809999996</v>
      </c>
      <c r="D223" s="25">
        <v>88.529655460000001</v>
      </c>
      <c r="E223" s="25">
        <v>83.474121089999997</v>
      </c>
      <c r="F223" s="25">
        <v>5.2962851520000003</v>
      </c>
      <c r="G223" s="25">
        <v>5.4009604449999999</v>
      </c>
      <c r="H223" s="25">
        <v>23531.904299999998</v>
      </c>
      <c r="I223" s="25">
        <v>24786.347659999999</v>
      </c>
      <c r="J223" s="25">
        <v>193.83552549999999</v>
      </c>
      <c r="K223" s="25">
        <v>99.697502139999997</v>
      </c>
      <c r="L223" s="25">
        <v>14.355999949999999</v>
      </c>
      <c r="M223" s="25">
        <v>0.45800000400000002</v>
      </c>
      <c r="N223" s="25">
        <v>28.982999800000002</v>
      </c>
      <c r="O223" s="25">
        <v>1.1000000240000001</v>
      </c>
      <c r="P223" s="25">
        <v>80.265258790000004</v>
      </c>
      <c r="Q223" s="25">
        <v>80.953140259999998</v>
      </c>
      <c r="R223" s="61">
        <f t="shared" si="7"/>
        <v>196.3329023111848</v>
      </c>
      <c r="S223" s="61">
        <f t="shared" si="6"/>
        <v>188.15866491519304</v>
      </c>
      <c r="T223" s="25">
        <v>10.58846466</v>
      </c>
      <c r="U223" s="25">
        <v>14.32823044</v>
      </c>
      <c r="V223" s="25">
        <v>96.90832992</v>
      </c>
      <c r="W223" s="25">
        <v>95.92552671</v>
      </c>
      <c r="X223" s="25">
        <v>24.916695109999999</v>
      </c>
      <c r="Y223" s="25">
        <v>96.34344969</v>
      </c>
    </row>
    <row r="224" spans="1:25" s="25" customFormat="1" x14ac:dyDescent="0.2">
      <c r="A224" s="25">
        <v>205.4609528</v>
      </c>
      <c r="B224" s="25">
        <v>80.64231873</v>
      </c>
      <c r="C224" s="25">
        <v>80.947151180000006</v>
      </c>
      <c r="D224" s="25">
        <v>88.346557619999999</v>
      </c>
      <c r="E224" s="25">
        <v>82.824089049999998</v>
      </c>
      <c r="F224" s="25">
        <v>5.1366782190000002</v>
      </c>
      <c r="G224" s="25">
        <v>5.7765097619999999</v>
      </c>
      <c r="H224" s="25">
        <v>23568.01758</v>
      </c>
      <c r="I224" s="25">
        <v>24737.140630000002</v>
      </c>
      <c r="J224" s="25">
        <v>188.18333440000001</v>
      </c>
      <c r="K224" s="25">
        <v>99.613403320000003</v>
      </c>
      <c r="L224" s="25">
        <v>14.739999770000001</v>
      </c>
      <c r="M224" s="25">
        <v>0.49700000900000002</v>
      </c>
      <c r="N224" s="25">
        <v>29.375999449999998</v>
      </c>
      <c r="O224" s="25">
        <v>1.103999972</v>
      </c>
      <c r="P224" s="25">
        <v>80.449043270000004</v>
      </c>
      <c r="Q224" s="25">
        <v>80.849563599999996</v>
      </c>
      <c r="R224" s="61">
        <f t="shared" si="7"/>
        <v>198.99199014714844</v>
      </c>
      <c r="S224" s="61">
        <f t="shared" si="6"/>
        <v>195.72571717901144</v>
      </c>
      <c r="T224" s="25">
        <v>11.583599100000001</v>
      </c>
      <c r="U224" s="25">
        <v>15.967871710000001</v>
      </c>
      <c r="V224" s="25">
        <v>96.738202950000002</v>
      </c>
      <c r="W224" s="25">
        <v>96.116425699999994</v>
      </c>
      <c r="X224" s="25">
        <v>27.551470800000001</v>
      </c>
      <c r="Y224" s="25">
        <v>96.377952780000001</v>
      </c>
    </row>
    <row r="225" spans="1:25" s="25" customFormat="1" x14ac:dyDescent="0.2">
      <c r="A225" s="25">
        <v>203.7102051</v>
      </c>
      <c r="B225" s="25">
        <v>81.394317630000003</v>
      </c>
      <c r="C225" s="25">
        <v>81.129570009999995</v>
      </c>
      <c r="D225" s="25">
        <v>88.017272950000006</v>
      </c>
      <c r="E225" s="25">
        <v>83.235931399999998</v>
      </c>
      <c r="F225" s="25">
        <v>5.2893981930000002</v>
      </c>
      <c r="G225" s="25">
        <v>5.6520996090000004</v>
      </c>
      <c r="H225" s="25">
        <v>23571.658200000002</v>
      </c>
      <c r="I225" s="25">
        <v>24792.740229999999</v>
      </c>
      <c r="J225" s="25">
        <v>185.89439390000001</v>
      </c>
      <c r="K225" s="25">
        <v>99.704200740000005</v>
      </c>
      <c r="L225" s="25">
        <v>15.36200047</v>
      </c>
      <c r="M225" s="25">
        <v>0.48899999300000002</v>
      </c>
      <c r="N225" s="25">
        <v>29.413999560000001</v>
      </c>
      <c r="O225" s="25">
        <v>1.1399999860000001</v>
      </c>
      <c r="P225" s="25">
        <v>81.271926879999995</v>
      </c>
      <c r="Q225" s="25">
        <v>81.029884339999995</v>
      </c>
      <c r="R225" s="61">
        <f t="shared" si="7"/>
        <v>199.61376579619721</v>
      </c>
      <c r="S225" s="61">
        <f t="shared" si="6"/>
        <v>196.27726939745887</v>
      </c>
      <c r="T225" s="25">
        <v>12.178297049999999</v>
      </c>
      <c r="U225" s="25">
        <v>15.73404388</v>
      </c>
      <c r="V225" s="25">
        <v>96.915021269999997</v>
      </c>
      <c r="W225" s="25">
        <v>95.768126249999995</v>
      </c>
      <c r="X225" s="25">
        <v>27.912340929999999</v>
      </c>
      <c r="Y225" s="25">
        <v>96.268900950000003</v>
      </c>
    </row>
    <row r="226" spans="1:25" s="25" customFormat="1" x14ac:dyDescent="0.2">
      <c r="A226" s="25">
        <v>199.67060849999999</v>
      </c>
      <c r="B226" s="25">
        <v>81.725624080000003</v>
      </c>
      <c r="C226" s="25">
        <v>81.272422789999993</v>
      </c>
      <c r="D226" s="25">
        <v>88.331909179999997</v>
      </c>
      <c r="E226" s="25">
        <v>82.860710139999995</v>
      </c>
      <c r="F226" s="25">
        <v>5.046793461</v>
      </c>
      <c r="G226" s="25">
        <v>5.9400634769999998</v>
      </c>
      <c r="H226" s="25">
        <v>23516.863280000001</v>
      </c>
      <c r="I226" s="25">
        <v>24596.443360000001</v>
      </c>
      <c r="J226" s="25">
        <v>180.1742706</v>
      </c>
      <c r="K226" s="25">
        <v>99.697402949999997</v>
      </c>
      <c r="L226" s="25">
        <v>15.54699993</v>
      </c>
      <c r="M226" s="25">
        <v>0.56999999300000004</v>
      </c>
      <c r="N226" s="25">
        <v>30.03700066</v>
      </c>
      <c r="O226" s="25">
        <v>1.182000041</v>
      </c>
      <c r="P226" s="25">
        <v>81.649559019999998</v>
      </c>
      <c r="Q226" s="25">
        <v>81.076232910000002</v>
      </c>
      <c r="R226" s="61">
        <f t="shared" si="7"/>
        <v>197.1246979517754</v>
      </c>
      <c r="S226" s="61">
        <f t="shared" si="6"/>
        <v>190.55818916381335</v>
      </c>
      <c r="T226" s="25">
        <v>12.483101250000001</v>
      </c>
      <c r="U226" s="25">
        <v>15.76966839</v>
      </c>
      <c r="V226" s="25">
        <v>96.463361699999993</v>
      </c>
      <c r="W226" s="25">
        <v>96.016225259999999</v>
      </c>
      <c r="X226" s="25">
        <v>28.25276963</v>
      </c>
      <c r="Y226" s="25">
        <v>96.213844089999995</v>
      </c>
    </row>
    <row r="227" spans="1:25" s="25" customFormat="1" x14ac:dyDescent="0.2">
      <c r="A227" s="25">
        <v>201.87496949999999</v>
      </c>
      <c r="B227" s="25">
        <v>80.79721069</v>
      </c>
      <c r="C227" s="25">
        <v>80.72106934</v>
      </c>
      <c r="D227" s="25">
        <v>87.974548339999998</v>
      </c>
      <c r="E227" s="25">
        <v>83.036804200000006</v>
      </c>
      <c r="F227" s="25">
        <v>5.2759618760000002</v>
      </c>
      <c r="G227" s="25">
        <v>5.5728201869999996</v>
      </c>
      <c r="H227" s="25">
        <v>23505.417969999999</v>
      </c>
      <c r="I227" s="25">
        <v>23931.791020000001</v>
      </c>
      <c r="J227" s="25">
        <v>184.0679016</v>
      </c>
      <c r="K227" s="25">
        <v>99.698600769999999</v>
      </c>
      <c r="L227" s="25">
        <v>15.27099991</v>
      </c>
      <c r="M227" s="25">
        <v>0.50499999500000003</v>
      </c>
      <c r="N227" s="25">
        <v>29.996000290000001</v>
      </c>
      <c r="O227" s="25">
        <v>1.1749999520000001</v>
      </c>
      <c r="P227" s="25">
        <v>80.355209349999996</v>
      </c>
      <c r="Q227" s="25">
        <v>80.410247799999993</v>
      </c>
      <c r="R227" s="61">
        <f t="shared" si="7"/>
        <v>187.08110916734086</v>
      </c>
      <c r="S227" s="61">
        <f t="shared" si="6"/>
        <v>176.6778591429358</v>
      </c>
      <c r="T227" s="25">
        <v>11.46515565</v>
      </c>
      <c r="U227" s="25">
        <v>14.402989140000001</v>
      </c>
      <c r="V227" s="25">
        <v>96.798935099999994</v>
      </c>
      <c r="W227" s="25">
        <v>95.777417249999999</v>
      </c>
      <c r="X227" s="25">
        <v>25.8681448</v>
      </c>
      <c r="Y227" s="25">
        <v>96.23047081</v>
      </c>
    </row>
    <row r="228" spans="1:25" s="25" customFormat="1" x14ac:dyDescent="0.2">
      <c r="A228" s="25">
        <v>206.31808469999999</v>
      </c>
      <c r="B228" s="25">
        <v>81.289939880000006</v>
      </c>
      <c r="C228" s="25">
        <v>80.836151119999997</v>
      </c>
      <c r="D228" s="25">
        <v>88.185119630000003</v>
      </c>
      <c r="E228" s="25">
        <v>83.778381350000004</v>
      </c>
      <c r="F228" s="25">
        <v>5.4042358400000001</v>
      </c>
      <c r="G228" s="25">
        <v>4.9174194340000001</v>
      </c>
      <c r="H228" s="25">
        <v>23448.800780000001</v>
      </c>
      <c r="I228" s="25">
        <v>23890.316409999999</v>
      </c>
      <c r="J228" s="25">
        <v>193.17520139999999</v>
      </c>
      <c r="K228" s="25">
        <v>99.662803650000001</v>
      </c>
      <c r="L228" s="25">
        <v>14.510999679999999</v>
      </c>
      <c r="M228" s="25">
        <v>0.47499999399999998</v>
      </c>
      <c r="N228" s="25">
        <v>28.919000629999999</v>
      </c>
      <c r="O228" s="25">
        <v>1.1269999740000001</v>
      </c>
      <c r="P228" s="25">
        <v>80.800003050000001</v>
      </c>
      <c r="Q228" s="25">
        <v>80.685874940000005</v>
      </c>
      <c r="R228" s="61">
        <f t="shared" si="7"/>
        <v>189.91981533084885</v>
      </c>
      <c r="S228" s="61">
        <f t="shared" si="6"/>
        <v>184.89004592280725</v>
      </c>
      <c r="T228" s="25">
        <v>10.821669780000001</v>
      </c>
      <c r="U228" s="25">
        <v>14.71853059</v>
      </c>
      <c r="V228" s="25">
        <v>96.830374989999996</v>
      </c>
      <c r="W228" s="25">
        <v>95.821191549999995</v>
      </c>
      <c r="X228" s="25">
        <v>25.540200370000001</v>
      </c>
      <c r="Y228" s="25">
        <v>96.2490849</v>
      </c>
    </row>
    <row r="229" spans="1:25" s="25" customFormat="1" x14ac:dyDescent="0.2">
      <c r="A229" s="25">
        <v>209.98402400000001</v>
      </c>
      <c r="B229" s="25">
        <v>80.938285829999998</v>
      </c>
      <c r="C229" s="25">
        <v>80.988731380000004</v>
      </c>
      <c r="D229" s="25">
        <v>88.666992190000002</v>
      </c>
      <c r="E229" s="25">
        <v>84.277961730000001</v>
      </c>
      <c r="F229" s="25">
        <v>4.9602255819999996</v>
      </c>
      <c r="G229" s="25">
        <v>4.6742148400000003</v>
      </c>
      <c r="H229" s="25">
        <v>23422.63867</v>
      </c>
      <c r="I229" s="25">
        <v>24444.070309999999</v>
      </c>
      <c r="J229" s="25">
        <v>193.1164856</v>
      </c>
      <c r="K229" s="25">
        <v>99.667800900000003</v>
      </c>
      <c r="L229" s="25">
        <v>14.84500027</v>
      </c>
      <c r="M229" s="25">
        <v>0.48600000100000001</v>
      </c>
      <c r="N229" s="25">
        <v>28.799999239999998</v>
      </c>
      <c r="O229" s="25">
        <v>1.0880000590000001</v>
      </c>
      <c r="P229" s="25">
        <v>80.304901119999997</v>
      </c>
      <c r="Q229" s="25">
        <v>80.654930109999995</v>
      </c>
      <c r="R229" s="61">
        <f t="shared" si="7"/>
        <v>188.78452958991127</v>
      </c>
      <c r="S229" s="61">
        <f t="shared" si="6"/>
        <v>177.61214407803857</v>
      </c>
      <c r="T229" s="25">
        <v>10.81196561</v>
      </c>
      <c r="U229" s="25">
        <v>13.16347745</v>
      </c>
      <c r="V229" s="25">
        <v>96.829952430000006</v>
      </c>
      <c r="W229" s="25">
        <v>95.973143530000002</v>
      </c>
      <c r="X229" s="25">
        <v>23.97544306</v>
      </c>
      <c r="Y229" s="25">
        <v>96.359742760000003</v>
      </c>
    </row>
    <row r="230" spans="1:25" s="25" customFormat="1" x14ac:dyDescent="0.2">
      <c r="A230" s="25">
        <v>206.64624019999999</v>
      </c>
      <c r="B230" s="25">
        <v>80.9106369</v>
      </c>
      <c r="C230" s="25">
        <v>80.773193359999993</v>
      </c>
      <c r="D230" s="25">
        <v>88.36486816</v>
      </c>
      <c r="E230" s="25">
        <v>84.072868349999993</v>
      </c>
      <c r="F230" s="25">
        <v>5.1701254839999997</v>
      </c>
      <c r="G230" s="25">
        <v>4.8854575159999998</v>
      </c>
      <c r="H230" s="25">
        <v>23548.158200000002</v>
      </c>
      <c r="I230" s="25">
        <v>24427.38867</v>
      </c>
      <c r="J230" s="25">
        <v>191.07568359999999</v>
      </c>
      <c r="K230" s="25">
        <v>99.678398130000005</v>
      </c>
      <c r="L230" s="25">
        <v>14.30500031</v>
      </c>
      <c r="M230" s="25">
        <v>0.46700000800000002</v>
      </c>
      <c r="N230" s="25">
        <v>28.760999680000001</v>
      </c>
      <c r="O230" s="25">
        <v>1.1219999789999999</v>
      </c>
      <c r="P230" s="25">
        <v>80.7421875</v>
      </c>
      <c r="Q230" s="25">
        <v>80.60749817</v>
      </c>
      <c r="R230" s="61">
        <f t="shared" si="7"/>
        <v>201.00821001502317</v>
      </c>
      <c r="S230" s="61">
        <f t="shared" si="6"/>
        <v>195.46236370909725</v>
      </c>
      <c r="T230" s="25">
        <v>11.270132820000001</v>
      </c>
      <c r="U230" s="25">
        <v>15.53729641</v>
      </c>
      <c r="V230" s="25">
        <v>96.838613609999996</v>
      </c>
      <c r="W230" s="25">
        <v>95.814516339999997</v>
      </c>
      <c r="X230" s="25">
        <v>26.807429240000001</v>
      </c>
      <c r="Y230" s="25">
        <v>96.245356920000006</v>
      </c>
    </row>
    <row r="231" spans="1:25" s="25" customFormat="1" x14ac:dyDescent="0.2">
      <c r="A231" s="25">
        <v>207.50976560000001</v>
      </c>
      <c r="B231" s="25">
        <v>81.523712160000002</v>
      </c>
      <c r="C231" s="25">
        <v>81.355079649999993</v>
      </c>
      <c r="D231" s="25">
        <v>88.482215879999998</v>
      </c>
      <c r="E231" s="25">
        <v>84.278419490000005</v>
      </c>
      <c r="F231" s="25">
        <v>5.112792969</v>
      </c>
      <c r="G231" s="25">
        <v>4.5332946779999999</v>
      </c>
      <c r="H231" s="25">
        <v>23795.89258</v>
      </c>
      <c r="I231" s="25">
        <v>24404.214840000001</v>
      </c>
      <c r="J231" s="25">
        <v>191.34402470000001</v>
      </c>
      <c r="K231" s="25">
        <v>99.670501709999996</v>
      </c>
      <c r="L231" s="25">
        <v>15.50800037</v>
      </c>
      <c r="M231" s="25">
        <v>0.50999998999999996</v>
      </c>
      <c r="N231" s="25">
        <v>29.430999759999999</v>
      </c>
      <c r="O231" s="25">
        <v>1.1640000340000001</v>
      </c>
      <c r="P231" s="25">
        <v>81.116035460000006</v>
      </c>
      <c r="Q231" s="25">
        <v>81.197868349999993</v>
      </c>
      <c r="R231" s="61">
        <f t="shared" si="7"/>
        <v>193.86475682993779</v>
      </c>
      <c r="S231" s="61">
        <f t="shared" si="6"/>
        <v>188.60286777114953</v>
      </c>
      <c r="T231" s="25">
        <v>11.73864378</v>
      </c>
      <c r="U231" s="25">
        <v>14.63774315</v>
      </c>
      <c r="V231" s="25">
        <v>96.816082039999998</v>
      </c>
      <c r="W231" s="25">
        <v>95.697098120000007</v>
      </c>
      <c r="X231" s="25">
        <v>26.376386929999999</v>
      </c>
      <c r="Y231" s="25">
        <v>96.195456640000003</v>
      </c>
    </row>
    <row r="232" spans="1:25" s="25" customFormat="1" x14ac:dyDescent="0.2">
      <c r="A232" s="25">
        <v>198.54080200000001</v>
      </c>
      <c r="B232" s="25">
        <v>81.786254880000001</v>
      </c>
      <c r="C232" s="25">
        <v>81.076820369999993</v>
      </c>
      <c r="D232" s="25">
        <v>88.692779540000004</v>
      </c>
      <c r="E232" s="25">
        <v>83.940589900000006</v>
      </c>
      <c r="F232" s="25">
        <v>4.8705849649999999</v>
      </c>
      <c r="G232" s="25">
        <v>4.8906860349999999</v>
      </c>
      <c r="H232" s="25">
        <v>23633.158200000002</v>
      </c>
      <c r="I232" s="25">
        <v>24539.113280000001</v>
      </c>
      <c r="J232" s="25">
        <v>187.19511410000001</v>
      </c>
      <c r="K232" s="25">
        <v>99.663200380000006</v>
      </c>
      <c r="L232" s="25">
        <v>14.63300037</v>
      </c>
      <c r="M232" s="25">
        <v>0.476000011</v>
      </c>
      <c r="N232" s="25">
        <v>29.371000290000001</v>
      </c>
      <c r="O232" s="25">
        <v>1.2070000169999999</v>
      </c>
      <c r="P232" s="25">
        <v>81.381912229999998</v>
      </c>
      <c r="Q232" s="25">
        <v>81.08984375</v>
      </c>
      <c r="R232" s="61">
        <f t="shared" si="7"/>
        <v>185.00738445281053</v>
      </c>
      <c r="S232" s="61">
        <f t="shared" si="6"/>
        <v>185.44327920548085</v>
      </c>
      <c r="T232" s="25">
        <v>11.044323459999999</v>
      </c>
      <c r="U232" s="25">
        <v>16.053214440000001</v>
      </c>
      <c r="V232" s="25">
        <v>96.849559869999993</v>
      </c>
      <c r="W232" s="25">
        <v>95.50364064</v>
      </c>
      <c r="X232" s="25">
        <v>27.097537899999999</v>
      </c>
      <c r="Y232" s="25">
        <v>96.052717619999996</v>
      </c>
    </row>
    <row r="233" spans="1:25" s="25" customFormat="1" x14ac:dyDescent="0.2">
      <c r="A233" s="25">
        <v>205.78765870000001</v>
      </c>
      <c r="B233" s="25">
        <v>80.938018799999995</v>
      </c>
      <c r="C233" s="25">
        <v>80.445060729999994</v>
      </c>
      <c r="D233" s="25">
        <v>87.983558650000006</v>
      </c>
      <c r="E233" s="25">
        <v>83.203125</v>
      </c>
      <c r="F233" s="25">
        <v>5.4953613280000004</v>
      </c>
      <c r="G233" s="25">
        <v>5.530273438</v>
      </c>
      <c r="H233" s="25">
        <v>23884.291020000001</v>
      </c>
      <c r="I233" s="25">
        <v>24337.45117</v>
      </c>
      <c r="J233" s="25">
        <v>184.99139400000001</v>
      </c>
      <c r="K233" s="25">
        <v>99.636001590000006</v>
      </c>
      <c r="L233" s="25">
        <v>14.772999759999999</v>
      </c>
      <c r="M233" s="25">
        <v>0.48300000999999998</v>
      </c>
      <c r="N233" s="25">
        <v>29.861000059999999</v>
      </c>
      <c r="O233" s="25">
        <v>1.2039999960000001</v>
      </c>
      <c r="P233" s="25">
        <v>80.464332580000004</v>
      </c>
      <c r="Q233" s="25">
        <v>80.323020940000006</v>
      </c>
      <c r="R233" s="61">
        <f t="shared" si="7"/>
        <v>189.93330002275022</v>
      </c>
      <c r="S233" s="61">
        <f t="shared" si="6"/>
        <v>185.84860741008336</v>
      </c>
      <c r="T233" s="25">
        <v>11.04874596</v>
      </c>
      <c r="U233" s="25">
        <v>15.574007310000001</v>
      </c>
      <c r="V233" s="25">
        <v>96.834032399999998</v>
      </c>
      <c r="W233" s="25">
        <v>95.619999449999995</v>
      </c>
      <c r="X233" s="25">
        <v>26.62275327</v>
      </c>
      <c r="Y233" s="25">
        <v>96.124255610000006</v>
      </c>
    </row>
    <row r="234" spans="1:25" s="25" customFormat="1" x14ac:dyDescent="0.2">
      <c r="A234" s="25">
        <v>199.7355652</v>
      </c>
      <c r="B234" s="25">
        <v>80.02955627</v>
      </c>
      <c r="C234" s="25">
        <v>79.738395690000004</v>
      </c>
      <c r="D234" s="25">
        <v>88.033752440000001</v>
      </c>
      <c r="E234" s="25">
        <v>83.858337399999996</v>
      </c>
      <c r="F234" s="25">
        <v>5.3971762659999998</v>
      </c>
      <c r="G234" s="25">
        <v>5.122558594</v>
      </c>
      <c r="H234" s="25">
        <v>23619.89258</v>
      </c>
      <c r="I234" s="25">
        <v>24388.181639999999</v>
      </c>
      <c r="J234" s="25">
        <v>186.66484070000001</v>
      </c>
      <c r="K234" s="25">
        <v>99.63439941</v>
      </c>
      <c r="L234" s="25">
        <v>15.37100029</v>
      </c>
      <c r="M234" s="25">
        <v>0.63200002899999996</v>
      </c>
      <c r="N234" s="25">
        <v>29.582000730000001</v>
      </c>
      <c r="O234" s="25">
        <v>1.402999997</v>
      </c>
      <c r="P234" s="25">
        <v>80.064392089999998</v>
      </c>
      <c r="Q234" s="25">
        <v>79.780937190000003</v>
      </c>
      <c r="R234" s="61">
        <f t="shared" si="7"/>
        <v>200.90152604449341</v>
      </c>
      <c r="S234" s="61">
        <f t="shared" si="6"/>
        <v>202.32539731452573</v>
      </c>
      <c r="T234" s="25">
        <v>12.64226298</v>
      </c>
      <c r="U234" s="25">
        <v>17.16529091</v>
      </c>
      <c r="V234" s="25">
        <v>96.050740379999993</v>
      </c>
      <c r="W234" s="25">
        <v>95.045260229999997</v>
      </c>
      <c r="X234" s="25">
        <v>29.807553890000001</v>
      </c>
      <c r="Y234" s="25">
        <v>95.472002700000004</v>
      </c>
    </row>
    <row r="235" spans="1:25" s="25" customFormat="1" x14ac:dyDescent="0.2">
      <c r="A235" s="25">
        <v>206.4797974</v>
      </c>
      <c r="B235" s="25">
        <v>80.969055179999998</v>
      </c>
      <c r="C235" s="25">
        <v>80.421401979999999</v>
      </c>
      <c r="D235" s="25">
        <v>88.335731510000002</v>
      </c>
      <c r="E235" s="25">
        <v>83.977210999999997</v>
      </c>
      <c r="F235" s="25">
        <v>5.4978027340000004</v>
      </c>
      <c r="G235" s="25">
        <v>4.7560524940000004</v>
      </c>
      <c r="H235" s="25">
        <v>23648.21875</v>
      </c>
      <c r="I235" s="25">
        <v>24515.671880000002</v>
      </c>
      <c r="J235" s="25">
        <v>189.0079346</v>
      </c>
      <c r="K235" s="25">
        <v>99.640602110000003</v>
      </c>
      <c r="L235" s="25">
        <v>14.66899967</v>
      </c>
      <c r="M235" s="25">
        <v>0.49200001399999999</v>
      </c>
      <c r="N235" s="25">
        <v>29.249000550000002</v>
      </c>
      <c r="O235" s="25">
        <v>1.2059999699999999</v>
      </c>
      <c r="P235" s="25">
        <v>80.689437870000006</v>
      </c>
      <c r="Q235" s="25">
        <v>80.452560419999998</v>
      </c>
      <c r="R235" s="61">
        <f t="shared" si="7"/>
        <v>197.12095828260345</v>
      </c>
      <c r="S235" s="61">
        <f t="shared" si="6"/>
        <v>198.16383659049166</v>
      </c>
      <c r="T235" s="25">
        <v>11.357789500000001</v>
      </c>
      <c r="U235" s="25">
        <v>16.37986853</v>
      </c>
      <c r="V235" s="25">
        <v>96.754831319999994</v>
      </c>
      <c r="W235" s="25">
        <v>95.543734180000001</v>
      </c>
      <c r="X235" s="25">
        <v>27.737658039999999</v>
      </c>
      <c r="Y235" s="25">
        <v>96.04005927</v>
      </c>
    </row>
    <row r="236" spans="1:25" s="25" customFormat="1" x14ac:dyDescent="0.2">
      <c r="A236" s="25">
        <v>208.65509030000001</v>
      </c>
      <c r="B236" s="25">
        <v>81.440582280000001</v>
      </c>
      <c r="C236" s="25">
        <v>80.782119750000007</v>
      </c>
      <c r="D236" s="25">
        <v>88.253478999999999</v>
      </c>
      <c r="E236" s="25">
        <v>83.949890139999994</v>
      </c>
      <c r="F236" s="25">
        <v>5.220621586</v>
      </c>
      <c r="G236" s="25">
        <v>4.8239135739999996</v>
      </c>
      <c r="H236" s="25">
        <v>23970.240229999999</v>
      </c>
      <c r="I236" s="25">
        <v>24504.462889999999</v>
      </c>
      <c r="J236" s="25">
        <v>187.9050751</v>
      </c>
      <c r="K236" s="25">
        <v>99.629600519999997</v>
      </c>
      <c r="L236" s="25">
        <v>15.57800007</v>
      </c>
      <c r="M236" s="25">
        <v>0.55500000699999996</v>
      </c>
      <c r="N236" s="25">
        <v>28.75300026</v>
      </c>
      <c r="O236" s="25">
        <v>1.1399999860000001</v>
      </c>
      <c r="P236" s="25">
        <v>80.837318420000003</v>
      </c>
      <c r="Q236" s="25">
        <v>80.728309629999998</v>
      </c>
      <c r="R236" s="61">
        <f t="shared" si="7"/>
        <v>188.46374588330499</v>
      </c>
      <c r="S236" s="61">
        <f t="shared" si="6"/>
        <v>186.6627119774717</v>
      </c>
      <c r="T236" s="25">
        <v>11.43857122</v>
      </c>
      <c r="U236" s="25">
        <v>13.93818158</v>
      </c>
      <c r="V236" s="25">
        <v>96.559846250000007</v>
      </c>
      <c r="W236" s="25">
        <v>95.879678729999995</v>
      </c>
      <c r="X236" s="25">
        <v>25.376752799999998</v>
      </c>
      <c r="Y236" s="25">
        <v>96.186398229999995</v>
      </c>
    </row>
    <row r="237" spans="1:25" s="25" customFormat="1" x14ac:dyDescent="0.2">
      <c r="A237" s="25">
        <v>201.16928100000001</v>
      </c>
      <c r="B237" s="25">
        <v>79.747528079999995</v>
      </c>
      <c r="C237" s="25">
        <v>80.273254390000005</v>
      </c>
      <c r="D237" s="25">
        <v>88.366699220000001</v>
      </c>
      <c r="E237" s="25">
        <v>83.783866880000005</v>
      </c>
      <c r="F237" s="25">
        <v>5.0889768599999998</v>
      </c>
      <c r="G237" s="25">
        <v>4.9113540650000003</v>
      </c>
      <c r="H237" s="25">
        <v>23813.744139999999</v>
      </c>
      <c r="I237" s="25">
        <v>24336.023440000001</v>
      </c>
      <c r="J237" s="25">
        <v>184.70800779999999</v>
      </c>
      <c r="K237" s="25">
        <v>99.617996219999995</v>
      </c>
      <c r="L237" s="25">
        <v>16.429000850000001</v>
      </c>
      <c r="M237" s="25">
        <v>0.57800000900000004</v>
      </c>
      <c r="N237" s="25">
        <v>33.096000670000002</v>
      </c>
      <c r="O237" s="25">
        <v>1.3849999900000001</v>
      </c>
      <c r="P237" s="25">
        <v>79.188980099999995</v>
      </c>
      <c r="Q237" s="25">
        <v>79.900047299999997</v>
      </c>
      <c r="R237" s="61">
        <f t="shared" si="7"/>
        <v>182.47458472326744</v>
      </c>
      <c r="S237" s="61">
        <f t="shared" si="6"/>
        <v>169.9832796864587</v>
      </c>
      <c r="T237" s="25">
        <v>12.11032312</v>
      </c>
      <c r="U237" s="25">
        <v>15.54738042</v>
      </c>
      <c r="V237" s="25">
        <v>96.601399540000003</v>
      </c>
      <c r="W237" s="25">
        <v>95.501215250000001</v>
      </c>
      <c r="X237" s="25">
        <v>27.65770354</v>
      </c>
      <c r="Y237" s="25">
        <v>95.983295249999998</v>
      </c>
    </row>
    <row r="238" spans="1:25" s="25" customFormat="1" x14ac:dyDescent="0.2">
      <c r="A238" s="25">
        <v>204.94720459999999</v>
      </c>
      <c r="B238" s="25">
        <v>80.548995969999993</v>
      </c>
      <c r="C238" s="25">
        <v>80.411109920000001</v>
      </c>
      <c r="D238" s="25">
        <v>88.335884089999993</v>
      </c>
      <c r="E238" s="25">
        <v>83.858337399999996</v>
      </c>
      <c r="F238" s="25">
        <v>5.1548666949999999</v>
      </c>
      <c r="G238" s="25">
        <v>4.9468994139999998</v>
      </c>
      <c r="H238" s="25">
        <v>23572.179690000001</v>
      </c>
      <c r="I238" s="25">
        <v>24458.347659999999</v>
      </c>
      <c r="J238" s="25">
        <v>183.93658450000001</v>
      </c>
      <c r="K238" s="25">
        <v>99.635902400000006</v>
      </c>
      <c r="L238" s="25">
        <v>14.928999900000001</v>
      </c>
      <c r="M238" s="25">
        <v>0.521000028</v>
      </c>
      <c r="N238" s="25">
        <v>29.975000380000001</v>
      </c>
      <c r="O238" s="25">
        <v>1.2070000169999999</v>
      </c>
      <c r="P238" s="25">
        <v>80.081268309999999</v>
      </c>
      <c r="Q238" s="25">
        <v>80.444129939999996</v>
      </c>
      <c r="R238" s="61">
        <f t="shared" si="7"/>
        <v>189.29227994352425</v>
      </c>
      <c r="S238" s="61">
        <f t="shared" si="6"/>
        <v>190.39746565192399</v>
      </c>
      <c r="T238" s="25">
        <v>11.19992641</v>
      </c>
      <c r="U238" s="25">
        <v>16.289311040000001</v>
      </c>
      <c r="V238" s="25">
        <v>96.627831520000001</v>
      </c>
      <c r="W238" s="25">
        <v>95.785982959999998</v>
      </c>
      <c r="X238" s="25">
        <v>27.489237450000001</v>
      </c>
      <c r="Y238" s="25">
        <v>96.129177080000005</v>
      </c>
    </row>
    <row r="239" spans="1:25" s="25" customFormat="1" x14ac:dyDescent="0.2">
      <c r="A239" s="25">
        <v>201.46591190000001</v>
      </c>
      <c r="B239" s="25">
        <v>81.156219480000004</v>
      </c>
      <c r="C239" s="25">
        <v>80.052642820000003</v>
      </c>
      <c r="D239" s="25">
        <v>88.159492490000005</v>
      </c>
      <c r="E239" s="25">
        <v>83.723754880000001</v>
      </c>
      <c r="F239" s="25">
        <v>5.2845067979999998</v>
      </c>
      <c r="G239" s="25">
        <v>5.1729497909999997</v>
      </c>
      <c r="H239" s="25">
        <v>23951.623049999998</v>
      </c>
      <c r="I239" s="25">
        <v>24281.3125</v>
      </c>
      <c r="J239" s="25">
        <v>185.79046629999999</v>
      </c>
      <c r="K239" s="25">
        <v>99.602096560000007</v>
      </c>
      <c r="L239" s="25">
        <v>14.47900009</v>
      </c>
      <c r="M239" s="25">
        <v>0.47999998900000002</v>
      </c>
      <c r="N239" s="25">
        <v>28.877000809999998</v>
      </c>
      <c r="O239" s="25">
        <v>1.220999956</v>
      </c>
      <c r="P239" s="25">
        <v>81.042846679999997</v>
      </c>
      <c r="Q239" s="25">
        <v>80.016632079999994</v>
      </c>
      <c r="R239" s="61">
        <f t="shared" si="7"/>
        <v>197.67130492273927</v>
      </c>
      <c r="S239" s="61">
        <f t="shared" si="6"/>
        <v>196.46601930519833</v>
      </c>
      <c r="T239" s="25">
        <v>11.521385779999999</v>
      </c>
      <c r="U239" s="25">
        <v>16.346556060000001</v>
      </c>
      <c r="V239" s="25">
        <v>96.791229450000003</v>
      </c>
      <c r="W239" s="25">
        <v>95.344568550000005</v>
      </c>
      <c r="X239" s="25">
        <v>27.86794184</v>
      </c>
      <c r="Y239" s="25">
        <v>95.943252290000004</v>
      </c>
    </row>
    <row r="240" spans="1:25" s="25" customFormat="1" x14ac:dyDescent="0.2">
      <c r="A240" s="25">
        <v>203.6906433</v>
      </c>
      <c r="B240" s="25">
        <v>79.540634159999996</v>
      </c>
      <c r="C240" s="25">
        <v>80.317970279999997</v>
      </c>
      <c r="D240" s="25">
        <v>87.823188779999995</v>
      </c>
      <c r="E240" s="25">
        <v>83.670036319999994</v>
      </c>
      <c r="F240" s="25">
        <v>5.4839072230000001</v>
      </c>
      <c r="G240" s="25">
        <v>4.8887329099999999</v>
      </c>
      <c r="H240" s="25">
        <v>23639.51758</v>
      </c>
      <c r="I240" s="25">
        <v>24481.71875</v>
      </c>
      <c r="J240" s="25">
        <v>184.8904114</v>
      </c>
      <c r="K240" s="25">
        <v>99.602401729999997</v>
      </c>
      <c r="L240" s="25">
        <v>16.791999820000001</v>
      </c>
      <c r="M240" s="25">
        <v>0.58200001700000004</v>
      </c>
      <c r="N240" s="25">
        <v>33.148998259999999</v>
      </c>
      <c r="O240" s="25">
        <v>1.4090000389999999</v>
      </c>
      <c r="P240" s="25">
        <v>79.447357179999997</v>
      </c>
      <c r="Q240" s="25">
        <v>80.106536869999999</v>
      </c>
      <c r="R240" s="61">
        <f t="shared" si="7"/>
        <v>200.56864685000687</v>
      </c>
      <c r="S240" s="61">
        <f t="shared" si="6"/>
        <v>193.49193450972803</v>
      </c>
      <c r="T240" s="25">
        <v>13.431430110000001</v>
      </c>
      <c r="U240" s="25">
        <v>17.738139090000001</v>
      </c>
      <c r="V240" s="25">
        <v>96.65016679</v>
      </c>
      <c r="W240" s="25">
        <v>95.371202060000002</v>
      </c>
      <c r="X240" s="25">
        <v>31.169569209999999</v>
      </c>
      <c r="Y240" s="25">
        <v>95.922796140000003</v>
      </c>
    </row>
    <row r="241" spans="1:25" s="25" customFormat="1" x14ac:dyDescent="0.2">
      <c r="A241" s="25">
        <v>202.04269410000001</v>
      </c>
      <c r="B241" s="25">
        <v>80.066535950000002</v>
      </c>
      <c r="C241" s="25">
        <v>79.727516170000001</v>
      </c>
      <c r="D241" s="25">
        <v>87.999122619999994</v>
      </c>
      <c r="E241" s="25">
        <v>83.417808530000002</v>
      </c>
      <c r="F241" s="25">
        <v>5.480438232</v>
      </c>
      <c r="G241" s="25">
        <v>5.2620339390000002</v>
      </c>
      <c r="H241" s="25">
        <v>23520.988280000001</v>
      </c>
      <c r="I241" s="25">
        <v>24383.85742</v>
      </c>
      <c r="J241" s="25">
        <v>184.84384159999999</v>
      </c>
      <c r="K241" s="25">
        <v>99.645797729999998</v>
      </c>
      <c r="L241" s="25">
        <v>16.298000340000002</v>
      </c>
      <c r="M241" s="25">
        <v>0.545000017</v>
      </c>
      <c r="N241" s="25">
        <v>32.42200089</v>
      </c>
      <c r="O241" s="25">
        <v>1.378999949</v>
      </c>
      <c r="P241" s="25">
        <v>80.407302860000001</v>
      </c>
      <c r="Q241" s="25">
        <v>79.968109130000002</v>
      </c>
      <c r="R241" s="61">
        <f t="shared" si="7"/>
        <v>213.44822077223083</v>
      </c>
      <c r="S241" s="61">
        <f t="shared" si="6"/>
        <v>221.50090823073722</v>
      </c>
      <c r="T241" s="25">
        <v>13.962145530000001</v>
      </c>
      <c r="U241" s="25">
        <v>21.20721524</v>
      </c>
      <c r="V241" s="25">
        <v>96.764234369999997</v>
      </c>
      <c r="W241" s="25">
        <v>95.363669200000004</v>
      </c>
      <c r="X241" s="25">
        <v>35.169360769999997</v>
      </c>
      <c r="Y241" s="25">
        <v>95.920239300000006</v>
      </c>
    </row>
    <row r="242" spans="1:25" s="25" customFormat="1" x14ac:dyDescent="0.2">
      <c r="A242" s="25">
        <v>206.8052673</v>
      </c>
      <c r="B242" s="25">
        <v>80.682083129999995</v>
      </c>
      <c r="C242" s="25">
        <v>80.176025390000007</v>
      </c>
      <c r="D242" s="25">
        <v>88.134300229999994</v>
      </c>
      <c r="E242" s="25">
        <v>83.858184809999997</v>
      </c>
      <c r="F242" s="25">
        <v>5.3492126459999998</v>
      </c>
      <c r="G242" s="25">
        <v>5.0921425820000001</v>
      </c>
      <c r="H242" s="25">
        <v>23860.755860000001</v>
      </c>
      <c r="I242" s="25">
        <v>24450.998049999998</v>
      </c>
      <c r="J242" s="25">
        <v>186.90669249999999</v>
      </c>
      <c r="K242" s="25">
        <v>99.620201109999996</v>
      </c>
      <c r="L242" s="25">
        <v>16.763999940000001</v>
      </c>
      <c r="M242" s="25">
        <v>0.65499997099999996</v>
      </c>
      <c r="N242" s="25">
        <v>33.9109993</v>
      </c>
      <c r="O242" s="25">
        <v>1.4299999480000001</v>
      </c>
      <c r="P242" s="25">
        <v>80.169937129999994</v>
      </c>
      <c r="Q242" s="25">
        <v>80.071342470000005</v>
      </c>
      <c r="R242" s="61">
        <f t="shared" si="7"/>
        <v>189.66365321817395</v>
      </c>
      <c r="S242" s="61">
        <f t="shared" si="6"/>
        <v>186.15989800852924</v>
      </c>
      <c r="T242" s="25">
        <v>12.546054959999999</v>
      </c>
      <c r="U242" s="25">
        <v>17.653496449999999</v>
      </c>
      <c r="V242" s="25">
        <v>96.239738360000004</v>
      </c>
      <c r="W242" s="25">
        <v>95.750314829999994</v>
      </c>
      <c r="X242" s="25">
        <v>30.199551400000001</v>
      </c>
      <c r="Y242" s="25">
        <v>95.953708219999996</v>
      </c>
    </row>
    <row r="243" spans="1:25" s="25" customFormat="1" x14ac:dyDescent="0.2">
      <c r="A243" s="25">
        <v>210.56259159999999</v>
      </c>
      <c r="B243" s="25">
        <v>80.323936459999999</v>
      </c>
      <c r="C243" s="25">
        <v>80.012695309999998</v>
      </c>
      <c r="D243" s="25">
        <v>88.064567569999994</v>
      </c>
      <c r="E243" s="25">
        <v>83.884735109999994</v>
      </c>
      <c r="F243" s="25">
        <v>5.6484580040000001</v>
      </c>
      <c r="G243" s="25">
        <v>5.0145874020000001</v>
      </c>
      <c r="H243" s="25">
        <v>23618.650389999999</v>
      </c>
      <c r="I243" s="25">
        <v>24519.84375</v>
      </c>
      <c r="J243" s="25">
        <v>191.93969730000001</v>
      </c>
      <c r="K243" s="25">
        <v>99.634696959999999</v>
      </c>
      <c r="L243" s="25">
        <v>16.67099953</v>
      </c>
      <c r="M243" s="25">
        <v>0.56199997700000004</v>
      </c>
      <c r="N243" s="25">
        <v>31.36300087</v>
      </c>
      <c r="O243" s="25">
        <v>1.3980000020000001</v>
      </c>
      <c r="P243" s="25">
        <v>80.113204960000004</v>
      </c>
      <c r="Q243" s="25">
        <v>80.026008610000005</v>
      </c>
      <c r="R243" s="61">
        <f t="shared" si="7"/>
        <v>203.50937230729005</v>
      </c>
      <c r="S243" s="61">
        <f t="shared" si="6"/>
        <v>203.95497073187153</v>
      </c>
      <c r="T243" s="25">
        <v>13.07099637</v>
      </c>
      <c r="U243" s="25">
        <v>17.05603906</v>
      </c>
      <c r="V243" s="25">
        <v>96.738815110000004</v>
      </c>
      <c r="W243" s="25">
        <v>94.960107339999993</v>
      </c>
      <c r="X243" s="25">
        <v>30.127035429999999</v>
      </c>
      <c r="Y243" s="25">
        <v>95.732731099999995</v>
      </c>
    </row>
    <row r="244" spans="1:25" s="25" customFormat="1" x14ac:dyDescent="0.2">
      <c r="A244" s="25">
        <v>187.5984192</v>
      </c>
      <c r="B244" s="25">
        <v>78.946571349999999</v>
      </c>
      <c r="C244" s="25">
        <v>80.107421880000004</v>
      </c>
      <c r="D244" s="25">
        <v>87.803962709999993</v>
      </c>
      <c r="E244" s="25">
        <v>83.853141780000001</v>
      </c>
      <c r="F244" s="25">
        <v>5.1757202150000001</v>
      </c>
      <c r="G244" s="25">
        <v>5.1618041989999996</v>
      </c>
      <c r="H244" s="25">
        <v>22830.724610000001</v>
      </c>
      <c r="I244" s="25">
        <v>24302.21875</v>
      </c>
      <c r="J244" s="25">
        <v>176.82122799999999</v>
      </c>
      <c r="K244" s="25">
        <v>99.635200499999996</v>
      </c>
      <c r="L244" s="25">
        <v>15.399000170000001</v>
      </c>
      <c r="M244" s="25">
        <v>0.58300000399999996</v>
      </c>
      <c r="N244" s="25">
        <v>30.945999149999999</v>
      </c>
      <c r="O244" s="25">
        <v>1.468000054</v>
      </c>
      <c r="P244" s="25">
        <v>78.665222170000007</v>
      </c>
      <c r="Q244" s="25">
        <v>80.207855219999999</v>
      </c>
      <c r="R244" s="61">
        <f t="shared" si="7"/>
        <v>178.18161409794303</v>
      </c>
      <c r="S244" s="61">
        <f t="shared" si="6"/>
        <v>181.54313513926471</v>
      </c>
      <c r="T244" s="25">
        <v>11.918011440000001</v>
      </c>
      <c r="U244" s="25">
        <v>17.871273089999999</v>
      </c>
      <c r="V244" s="25">
        <v>96.352146180000005</v>
      </c>
      <c r="W244" s="25">
        <v>94.88252421</v>
      </c>
      <c r="X244" s="25">
        <v>29.789284540000001</v>
      </c>
      <c r="Y244" s="25">
        <v>95.471092459999994</v>
      </c>
    </row>
    <row r="245" spans="1:25" s="25" customFormat="1" x14ac:dyDescent="0.2">
      <c r="A245" s="25">
        <v>208.8446045</v>
      </c>
      <c r="B245" s="25">
        <v>78.601646419999994</v>
      </c>
      <c r="C245" s="25">
        <v>80.569038390000003</v>
      </c>
      <c r="D245" s="25">
        <v>88.896324160000006</v>
      </c>
      <c r="E245" s="25">
        <v>84.255065920000007</v>
      </c>
      <c r="F245" s="25">
        <v>5.020996094</v>
      </c>
      <c r="G245" s="25">
        <v>4.6456298829999998</v>
      </c>
      <c r="H245" s="25">
        <v>23223.90625</v>
      </c>
      <c r="I245" s="25">
        <v>24578.953130000002</v>
      </c>
      <c r="J245" s="25">
        <v>192.94441219999999</v>
      </c>
      <c r="K245" s="25">
        <v>99.627899170000006</v>
      </c>
      <c r="L245" s="25">
        <v>13.850999829999999</v>
      </c>
      <c r="M245" s="25">
        <v>0.45600000000000002</v>
      </c>
      <c r="N245" s="25">
        <v>28.218000409999998</v>
      </c>
      <c r="O245" s="25">
        <v>1.161000013</v>
      </c>
      <c r="P245" s="25">
        <v>78.264938349999994</v>
      </c>
      <c r="Q245" s="25">
        <v>80.309715269999998</v>
      </c>
      <c r="R245" s="61">
        <f t="shared" si="7"/>
        <v>197.5749278957183</v>
      </c>
      <c r="S245" s="61">
        <f t="shared" si="6"/>
        <v>188.8953387833653</v>
      </c>
      <c r="T245" s="25">
        <v>10.62169461</v>
      </c>
      <c r="U245" s="25">
        <v>14.59862438</v>
      </c>
      <c r="V245" s="25">
        <v>96.812748959999993</v>
      </c>
      <c r="W245" s="25">
        <v>95.491063359999998</v>
      </c>
      <c r="X245" s="25">
        <v>25.220318989999999</v>
      </c>
      <c r="Y245" s="25">
        <v>96.048197700000003</v>
      </c>
    </row>
    <row r="246" spans="1:25" s="25" customFormat="1" x14ac:dyDescent="0.2">
      <c r="A246" s="25">
        <v>214.91317749999999</v>
      </c>
      <c r="B246" s="25">
        <v>77.973602290000002</v>
      </c>
      <c r="C246" s="25">
        <v>80.305320739999999</v>
      </c>
      <c r="D246" s="25">
        <v>88.928535460000006</v>
      </c>
      <c r="E246" s="25">
        <v>84.29779053</v>
      </c>
      <c r="F246" s="25">
        <v>5.2151083949999997</v>
      </c>
      <c r="G246" s="25">
        <v>4.7733154300000002</v>
      </c>
      <c r="H246" s="25">
        <v>23364.070309999999</v>
      </c>
      <c r="I246" s="25">
        <v>24554.390630000002</v>
      </c>
      <c r="J246" s="25">
        <v>194.9283752</v>
      </c>
      <c r="K246" s="25">
        <v>99.604400630000001</v>
      </c>
      <c r="L246" s="25">
        <v>14.149999619999999</v>
      </c>
      <c r="M246" s="25">
        <v>0.50900000300000003</v>
      </c>
      <c r="N246" s="25">
        <v>28.989999770000001</v>
      </c>
      <c r="O246" s="25">
        <v>1.180999994</v>
      </c>
      <c r="P246" s="25">
        <v>77.535682679999994</v>
      </c>
      <c r="Q246" s="25">
        <v>80.209465030000004</v>
      </c>
      <c r="R246" s="61">
        <f t="shared" si="7"/>
        <v>200.2559333674989</v>
      </c>
      <c r="S246" s="61">
        <f t="shared" si="6"/>
        <v>197.04762638402281</v>
      </c>
      <c r="T246" s="25">
        <v>10.7253303</v>
      </c>
      <c r="U246" s="25">
        <v>15.53479931</v>
      </c>
      <c r="V246" s="25">
        <v>96.527730289999994</v>
      </c>
      <c r="W246" s="25">
        <v>95.780159549999993</v>
      </c>
      <c r="X246" s="25">
        <v>26.26012961</v>
      </c>
      <c r="Y246" s="25">
        <v>96.085645139999997</v>
      </c>
    </row>
    <row r="247" spans="1:25" s="25" customFormat="1" x14ac:dyDescent="0.2">
      <c r="A247" s="25">
        <v>212.8862</v>
      </c>
      <c r="B247" s="25">
        <v>78.131027219999993</v>
      </c>
      <c r="C247" s="25">
        <v>80.063583370000003</v>
      </c>
      <c r="D247" s="25">
        <v>88.663024899999996</v>
      </c>
      <c r="E247" s="25">
        <v>84.461433409999998</v>
      </c>
      <c r="F247" s="25">
        <v>5.3337402340000004</v>
      </c>
      <c r="G247" s="25">
        <v>4.7658114429999996</v>
      </c>
      <c r="H247" s="25">
        <v>23383.191409999999</v>
      </c>
      <c r="I247" s="25">
        <v>24376.378909999999</v>
      </c>
      <c r="J247" s="25">
        <v>195.05232240000001</v>
      </c>
      <c r="K247" s="25">
        <v>99.642898560000006</v>
      </c>
      <c r="L247" s="25">
        <v>14.12899971</v>
      </c>
      <c r="M247" s="25">
        <v>0.57499998799999996</v>
      </c>
      <c r="N247" s="25">
        <v>28.372999190000002</v>
      </c>
      <c r="O247" s="25">
        <v>1.4170000549999999</v>
      </c>
      <c r="P247" s="25">
        <v>77.877517699999999</v>
      </c>
      <c r="Q247" s="25">
        <v>79.899703979999998</v>
      </c>
      <c r="R247" s="61">
        <f t="shared" si="7"/>
        <v>204.40119307246596</v>
      </c>
      <c r="S247" s="61">
        <f t="shared" si="6"/>
        <v>198.91612190263325</v>
      </c>
      <c r="T247" s="25">
        <v>11.08690284</v>
      </c>
      <c r="U247" s="25">
        <v>15.35250905</v>
      </c>
      <c r="V247" s="25">
        <v>96.089499459999999</v>
      </c>
      <c r="W247" s="25">
        <v>94.631290449999995</v>
      </c>
      <c r="X247" s="25">
        <v>26.439411889999999</v>
      </c>
      <c r="Y247" s="25">
        <v>95.243369950000002</v>
      </c>
    </row>
    <row r="248" spans="1:25" s="25" customFormat="1" x14ac:dyDescent="0.2">
      <c r="A248" s="25">
        <v>212.8697205</v>
      </c>
      <c r="B248" s="25">
        <v>79.697769170000001</v>
      </c>
      <c r="C248" s="25">
        <v>80.33950806</v>
      </c>
      <c r="D248" s="25">
        <v>88.732910160000003</v>
      </c>
      <c r="E248" s="25">
        <v>84.750373839999995</v>
      </c>
      <c r="F248" s="25">
        <v>5.0522255899999999</v>
      </c>
      <c r="G248" s="25">
        <v>4.3851318360000002</v>
      </c>
      <c r="H248" s="25">
        <v>23785.134770000001</v>
      </c>
      <c r="I248" s="25">
        <v>24392.65625</v>
      </c>
      <c r="J248" s="25">
        <v>195.3527679</v>
      </c>
      <c r="K248" s="25">
        <v>99.613098140000005</v>
      </c>
      <c r="L248" s="25">
        <v>14.68999958</v>
      </c>
      <c r="M248" s="25">
        <v>0.46200001200000002</v>
      </c>
      <c r="N248" s="25">
        <v>28.4090004</v>
      </c>
      <c r="O248" s="25">
        <v>1.1779999729999999</v>
      </c>
      <c r="P248" s="25">
        <v>79.31360626</v>
      </c>
      <c r="Q248" s="25">
        <v>80.046073910000004</v>
      </c>
      <c r="R248" s="61">
        <f t="shared" si="7"/>
        <v>200.01172229680938</v>
      </c>
      <c r="S248" s="61">
        <f t="shared" si="6"/>
        <v>190.19043118503936</v>
      </c>
      <c r="T248" s="25">
        <v>11.17229665</v>
      </c>
      <c r="U248" s="25">
        <v>13.92176081</v>
      </c>
      <c r="V248" s="25">
        <v>96.950897409999996</v>
      </c>
      <c r="W248" s="25">
        <v>95.268811119999995</v>
      </c>
      <c r="X248" s="25">
        <v>25.094057459999998</v>
      </c>
      <c r="Y248" s="25">
        <v>96.018521789999994</v>
      </c>
    </row>
    <row r="249" spans="1:25" s="25" customFormat="1" x14ac:dyDescent="0.2">
      <c r="A249" s="25">
        <v>212.83264159999999</v>
      </c>
      <c r="B249" s="25">
        <v>80.317169190000001</v>
      </c>
      <c r="C249" s="25">
        <v>79.863128660000001</v>
      </c>
      <c r="D249" s="25">
        <v>89.005432130000003</v>
      </c>
      <c r="E249" s="25">
        <v>84.795227049999994</v>
      </c>
      <c r="F249" s="25">
        <v>4.7784118649999998</v>
      </c>
      <c r="G249" s="25">
        <v>4.4236044879999996</v>
      </c>
      <c r="H249" s="25">
        <v>23406.648440000001</v>
      </c>
      <c r="I249" s="25">
        <v>24477.25</v>
      </c>
      <c r="J249" s="25">
        <v>195.53207399999999</v>
      </c>
      <c r="K249" s="25">
        <v>99.550102229999993</v>
      </c>
      <c r="L249" s="25">
        <v>14.29800034</v>
      </c>
      <c r="M249" s="25">
        <v>0.495999992</v>
      </c>
      <c r="N249" s="25">
        <v>28.83799934</v>
      </c>
      <c r="O249" s="25">
        <v>1.2369999890000001</v>
      </c>
      <c r="P249" s="25">
        <v>80.125045779999994</v>
      </c>
      <c r="Q249" s="25">
        <v>79.675598140000005</v>
      </c>
      <c r="R249" s="61">
        <f t="shared" si="7"/>
        <v>206.40223825738954</v>
      </c>
      <c r="S249" s="61">
        <f t="shared" si="6"/>
        <v>200.12555972743112</v>
      </c>
      <c r="T249" s="25">
        <v>11.269945939999999</v>
      </c>
      <c r="U249" s="25">
        <v>15.596281729999999</v>
      </c>
      <c r="V249" s="25">
        <v>96.647289569999998</v>
      </c>
      <c r="W249" s="25">
        <v>95.336680959999995</v>
      </c>
      <c r="X249" s="25">
        <v>26.866227670000001</v>
      </c>
      <c r="Y249" s="25">
        <v>95.886949240000007</v>
      </c>
    </row>
    <row r="250" spans="1:25" s="25" customFormat="1" x14ac:dyDescent="0.2">
      <c r="A250" s="25">
        <v>211.32888790000001</v>
      </c>
      <c r="B250" s="25">
        <v>79.748245240000003</v>
      </c>
      <c r="C250" s="25">
        <v>80.121200560000005</v>
      </c>
      <c r="D250" s="25">
        <v>88.968505859999993</v>
      </c>
      <c r="E250" s="25">
        <v>84.598693850000004</v>
      </c>
      <c r="F250" s="25">
        <v>4.9224243159999999</v>
      </c>
      <c r="G250" s="25">
        <v>4.6605224610000002</v>
      </c>
      <c r="H250" s="25">
        <v>23452.935549999998</v>
      </c>
      <c r="I250" s="25">
        <v>24597.51367</v>
      </c>
      <c r="J250" s="25">
        <v>193.82316589999999</v>
      </c>
      <c r="K250" s="25">
        <v>99.572799680000003</v>
      </c>
      <c r="L250" s="25">
        <v>14.369999890000001</v>
      </c>
      <c r="M250" s="25">
        <v>0.43900001</v>
      </c>
      <c r="N250" s="25">
        <v>29.111000059999999</v>
      </c>
      <c r="O250" s="25">
        <v>1.1490000490000001</v>
      </c>
      <c r="P250" s="25">
        <v>79.408927919999996</v>
      </c>
      <c r="Q250" s="25">
        <v>79.892723079999996</v>
      </c>
      <c r="R250" s="61">
        <f t="shared" si="7"/>
        <v>199.97187925262295</v>
      </c>
      <c r="S250" s="61">
        <f t="shared" si="6"/>
        <v>192.32469897873958</v>
      </c>
      <c r="T250" s="25">
        <v>11.000170130000001</v>
      </c>
      <c r="U250" s="25">
        <v>15.14685942</v>
      </c>
      <c r="V250" s="25">
        <v>97.035586379999998</v>
      </c>
      <c r="W250" s="25">
        <v>95.597169750000006</v>
      </c>
      <c r="X250" s="25">
        <v>26.147029549999999</v>
      </c>
      <c r="Y250" s="25">
        <v>96.202907980000006</v>
      </c>
    </row>
    <row r="251" spans="1:25" s="25" customFormat="1" x14ac:dyDescent="0.2">
      <c r="A251" s="25">
        <v>205.89889529999999</v>
      </c>
      <c r="B251" s="25">
        <v>80.436035160000003</v>
      </c>
      <c r="C251" s="25">
        <v>80.311988830000004</v>
      </c>
      <c r="D251" s="25">
        <v>88.477470400000001</v>
      </c>
      <c r="E251" s="25">
        <v>84.250793459999997</v>
      </c>
      <c r="F251" s="25">
        <v>4.9471640590000003</v>
      </c>
      <c r="G251" s="25">
        <v>4.8093872070000003</v>
      </c>
      <c r="H251" s="25">
        <v>23469.92383</v>
      </c>
      <c r="I251" s="25">
        <v>24443.421880000002</v>
      </c>
      <c r="J251" s="25">
        <v>186.09645080000001</v>
      </c>
      <c r="K251" s="25">
        <v>99.592399599999993</v>
      </c>
      <c r="L251" s="25">
        <v>14.626000400000001</v>
      </c>
      <c r="M251" s="25">
        <v>0.515999973</v>
      </c>
      <c r="N251" s="25">
        <v>29.552999499999999</v>
      </c>
      <c r="O251" s="25">
        <v>1.383000016</v>
      </c>
      <c r="P251" s="25">
        <v>80.042953490000002</v>
      </c>
      <c r="Q251" s="25">
        <v>80.168075560000005</v>
      </c>
      <c r="R251" s="61">
        <f t="shared" si="7"/>
        <v>192.7423846765065</v>
      </c>
      <c r="S251" s="61">
        <f t="shared" si="6"/>
        <v>187.92558295279176</v>
      </c>
      <c r="T251" s="25">
        <v>11.13037999</v>
      </c>
      <c r="U251" s="25">
        <v>15.69400686</v>
      </c>
      <c r="V251" s="25">
        <v>96.592260199999998</v>
      </c>
      <c r="W251" s="25">
        <v>94.77413971</v>
      </c>
      <c r="X251" s="25">
        <v>26.82438685</v>
      </c>
      <c r="Y251" s="25">
        <v>95.529480090000007</v>
      </c>
    </row>
    <row r="252" spans="1:25" s="25" customFormat="1" x14ac:dyDescent="0.2">
      <c r="A252" s="25">
        <v>204.20150760000001</v>
      </c>
      <c r="B252" s="25">
        <v>80.404365540000001</v>
      </c>
      <c r="C252" s="25">
        <v>80.232269290000005</v>
      </c>
      <c r="D252" s="25">
        <v>88.076171880000004</v>
      </c>
      <c r="E252" s="25">
        <v>83.893730160000004</v>
      </c>
      <c r="F252" s="25">
        <v>5.295918941</v>
      </c>
      <c r="G252" s="25">
        <v>5.0314941409999996</v>
      </c>
      <c r="H252" s="25">
        <v>23404.148440000001</v>
      </c>
      <c r="I252" s="25">
        <v>24467.121090000001</v>
      </c>
      <c r="J252" s="25">
        <v>186.16880800000001</v>
      </c>
      <c r="K252" s="25">
        <v>99.604598999999993</v>
      </c>
      <c r="L252" s="25">
        <v>14.56700039</v>
      </c>
      <c r="M252" s="25">
        <v>0.469999999</v>
      </c>
      <c r="N252" s="25">
        <v>29.64100075</v>
      </c>
      <c r="O252" s="25">
        <v>1.228999972</v>
      </c>
      <c r="P252" s="25">
        <v>79.829803470000002</v>
      </c>
      <c r="Q252" s="25">
        <v>80.036041260000005</v>
      </c>
      <c r="R252" s="61">
        <f t="shared" si="7"/>
        <v>184.97081699615836</v>
      </c>
      <c r="S252" s="61">
        <f t="shared" si="6"/>
        <v>178.40303132118095</v>
      </c>
      <c r="T252" s="25">
        <v>10.69085391</v>
      </c>
      <c r="U252" s="25">
        <v>14.91339393</v>
      </c>
      <c r="V252" s="25">
        <v>96.87437663</v>
      </c>
      <c r="W252" s="25">
        <v>95.404394109999998</v>
      </c>
      <c r="X252" s="25">
        <v>25.604247839999999</v>
      </c>
      <c r="Y252" s="25">
        <v>96.018788650000005</v>
      </c>
    </row>
    <row r="253" spans="1:25" s="25" customFormat="1" x14ac:dyDescent="0.2">
      <c r="A253" s="25">
        <v>203.5670471</v>
      </c>
      <c r="B253" s="25">
        <v>79.052795410000002</v>
      </c>
      <c r="C253" s="25">
        <v>79.999122619999994</v>
      </c>
      <c r="D253" s="25">
        <v>87.924804690000002</v>
      </c>
      <c r="E253" s="25">
        <v>84.003593440000003</v>
      </c>
      <c r="F253" s="25">
        <v>5.6189575200000004</v>
      </c>
      <c r="G253" s="25">
        <v>4.9186401369999997</v>
      </c>
      <c r="H253" s="25">
        <v>22946.271479999999</v>
      </c>
      <c r="I253" s="25">
        <v>24528.132809999999</v>
      </c>
      <c r="J253" s="25">
        <v>185.9455414</v>
      </c>
      <c r="K253" s="25">
        <v>99.606903079999995</v>
      </c>
      <c r="L253" s="25">
        <v>14.25</v>
      </c>
      <c r="M253" s="25">
        <v>0.47799998500000002</v>
      </c>
      <c r="N253" s="25">
        <v>29.334999079999999</v>
      </c>
      <c r="O253" s="25">
        <v>1.2170000080000001</v>
      </c>
      <c r="P253" s="25">
        <v>78.719757079999994</v>
      </c>
      <c r="Q253" s="25">
        <v>79.812545779999994</v>
      </c>
      <c r="R253" s="61">
        <f t="shared" si="7"/>
        <v>192.42019732021853</v>
      </c>
      <c r="S253" s="61">
        <f t="shared" si="6"/>
        <v>186.17543862272484</v>
      </c>
      <c r="T253" s="25">
        <v>10.92810295</v>
      </c>
      <c r="U253" s="25">
        <v>15.598258939999999</v>
      </c>
      <c r="V253" s="25">
        <v>96.75448136</v>
      </c>
      <c r="W253" s="25">
        <v>95.498928660000004</v>
      </c>
      <c r="X253" s="25">
        <v>26.526361900000001</v>
      </c>
      <c r="Y253" s="25">
        <v>96.016627249999999</v>
      </c>
    </row>
    <row r="254" spans="1:25" s="25" customFormat="1" x14ac:dyDescent="0.2">
      <c r="A254" s="25">
        <v>203.4928894</v>
      </c>
      <c r="B254" s="25">
        <v>81.29972076</v>
      </c>
      <c r="C254" s="25">
        <v>80.94372559</v>
      </c>
      <c r="D254" s="25">
        <v>88.980094910000005</v>
      </c>
      <c r="E254" s="25">
        <v>84.628608700000001</v>
      </c>
      <c r="F254" s="25">
        <v>4.505940914</v>
      </c>
      <c r="G254" s="25">
        <v>4.2717285159999996</v>
      </c>
      <c r="H254" s="25">
        <v>22935.917969999999</v>
      </c>
      <c r="I254" s="25">
        <v>24485.269530000001</v>
      </c>
      <c r="J254" s="25">
        <v>190.15487669999999</v>
      </c>
      <c r="K254" s="25">
        <v>99.611801150000005</v>
      </c>
      <c r="L254" s="25">
        <v>14.37899971</v>
      </c>
      <c r="M254" s="25">
        <v>0.592999995</v>
      </c>
      <c r="N254" s="25">
        <v>29.309000019999999</v>
      </c>
      <c r="O254" s="25">
        <v>1.184999943</v>
      </c>
      <c r="P254" s="25">
        <v>81.02763367</v>
      </c>
      <c r="Q254" s="25">
        <v>80.884834290000001</v>
      </c>
      <c r="R254" s="61">
        <f t="shared" si="7"/>
        <v>194.38608803197789</v>
      </c>
      <c r="S254" s="61">
        <f t="shared" si="6"/>
        <v>192.41498616380548</v>
      </c>
      <c r="T254" s="25">
        <v>11.23558433</v>
      </c>
      <c r="U254" s="25">
        <v>16.13325545</v>
      </c>
      <c r="V254" s="25">
        <v>96.039273269999995</v>
      </c>
      <c r="W254" s="25">
        <v>96.166016499999998</v>
      </c>
      <c r="X254" s="25">
        <v>27.368839789999999</v>
      </c>
      <c r="Y254" s="25">
        <v>96.11398982</v>
      </c>
    </row>
    <row r="255" spans="1:25" s="25" customFormat="1" x14ac:dyDescent="0.2">
      <c r="A255" s="25">
        <v>202.6194763</v>
      </c>
      <c r="B255" s="25">
        <v>82.715271000000001</v>
      </c>
      <c r="C255" s="25">
        <v>82.533782959999996</v>
      </c>
      <c r="D255" s="25">
        <v>87.749946589999993</v>
      </c>
      <c r="E255" s="25">
        <v>84.191894529999999</v>
      </c>
      <c r="F255" s="25">
        <v>5.2659506800000004</v>
      </c>
      <c r="G255" s="25">
        <v>4.6282958980000002</v>
      </c>
      <c r="H255" s="25">
        <v>22749.509770000001</v>
      </c>
      <c r="I255" s="25">
        <v>24663.470700000002</v>
      </c>
      <c r="J255" s="25">
        <v>182.93707280000001</v>
      </c>
      <c r="K255" s="25">
        <v>99.567298890000004</v>
      </c>
      <c r="L255" s="25">
        <v>14.21199989</v>
      </c>
      <c r="M255" s="25">
        <v>0.45800000400000002</v>
      </c>
      <c r="N255" s="25">
        <v>29.374000550000002</v>
      </c>
      <c r="O255" s="25">
        <v>1.2159999610000001</v>
      </c>
      <c r="P255" s="25">
        <v>82.304641720000006</v>
      </c>
      <c r="Q255" s="25">
        <v>82.365127560000005</v>
      </c>
      <c r="R255" s="61">
        <f t="shared" si="7"/>
        <v>188.87564417311043</v>
      </c>
      <c r="S255" s="61">
        <f t="shared" si="6"/>
        <v>183.23071913295419</v>
      </c>
      <c r="T255" s="25">
        <v>10.73723918</v>
      </c>
      <c r="U255" s="25">
        <v>15.53446649</v>
      </c>
      <c r="V255" s="25">
        <v>96.877982230000001</v>
      </c>
      <c r="W255" s="25">
        <v>95.434169749999995</v>
      </c>
      <c r="X255" s="25">
        <v>26.271705669999999</v>
      </c>
      <c r="Y255" s="25">
        <v>96.024844909999999</v>
      </c>
    </row>
    <row r="256" spans="1:25" s="25" customFormat="1" x14ac:dyDescent="0.2">
      <c r="A256" s="25">
        <v>198.474884</v>
      </c>
      <c r="B256" s="25">
        <v>83.336364750000001</v>
      </c>
      <c r="C256" s="25">
        <v>82.291732789999998</v>
      </c>
      <c r="D256" s="25">
        <v>88.264617920000006</v>
      </c>
      <c r="E256" s="25">
        <v>84.137878420000007</v>
      </c>
      <c r="F256" s="25">
        <v>4.7809753419999996</v>
      </c>
      <c r="G256" s="25">
        <v>4.6317749020000001</v>
      </c>
      <c r="H256" s="25">
        <v>23147.89258</v>
      </c>
      <c r="I256" s="25">
        <v>24449.884770000001</v>
      </c>
      <c r="J256" s="25">
        <v>183.47225950000001</v>
      </c>
      <c r="K256" s="25">
        <v>99.574600219999994</v>
      </c>
      <c r="L256" s="25">
        <v>14.78100014</v>
      </c>
      <c r="M256" s="25">
        <v>0.48100000599999998</v>
      </c>
      <c r="N256" s="25">
        <v>30.103000640000001</v>
      </c>
      <c r="O256" s="25">
        <v>1.2999999520000001</v>
      </c>
      <c r="P256" s="25">
        <v>82.814643860000004</v>
      </c>
      <c r="Q256" s="25">
        <v>82.220451350000005</v>
      </c>
      <c r="R256" s="61">
        <f t="shared" si="7"/>
        <v>181.01279671472051</v>
      </c>
      <c r="S256" s="61">
        <f t="shared" si="6"/>
        <v>178.62699474481991</v>
      </c>
      <c r="T256" s="25">
        <v>10.928640140000001</v>
      </c>
      <c r="U256" s="25">
        <v>15.915908870000001</v>
      </c>
      <c r="V256" s="25">
        <v>96.848381590000002</v>
      </c>
      <c r="W256" s="25">
        <v>95.180456710000001</v>
      </c>
      <c r="X256" s="25">
        <v>26.844549010000001</v>
      </c>
      <c r="Y256" s="25">
        <v>95.860268360000006</v>
      </c>
    </row>
    <row r="257" spans="1:25" s="25" customFormat="1" x14ac:dyDescent="0.2">
      <c r="A257" s="25">
        <v>212.16110230000001</v>
      </c>
      <c r="B257" s="25">
        <v>82.450241090000006</v>
      </c>
      <c r="C257" s="25">
        <v>81.82378387</v>
      </c>
      <c r="D257" s="25">
        <v>88.839416499999999</v>
      </c>
      <c r="E257" s="25">
        <v>84.878532410000005</v>
      </c>
      <c r="F257" s="25">
        <v>4.699137211</v>
      </c>
      <c r="G257" s="25">
        <v>4.1437988280000004</v>
      </c>
      <c r="H257" s="25">
        <v>22496.17383</v>
      </c>
      <c r="I257" s="25">
        <v>24808.11133</v>
      </c>
      <c r="J257" s="25">
        <v>193.11402889999999</v>
      </c>
      <c r="K257" s="25">
        <v>99.566802980000006</v>
      </c>
      <c r="L257" s="25">
        <v>13.972999570000001</v>
      </c>
      <c r="M257" s="25">
        <v>0.55400002000000004</v>
      </c>
      <c r="N257" s="25">
        <v>28.600000380000001</v>
      </c>
      <c r="O257" s="25">
        <v>1.1690000300000001</v>
      </c>
      <c r="P257" s="25">
        <v>82.051422119999998</v>
      </c>
      <c r="Q257" s="25">
        <v>81.777961730000001</v>
      </c>
      <c r="R257" s="61">
        <f t="shared" si="7"/>
        <v>198.81256326571784</v>
      </c>
      <c r="S257" s="61">
        <f t="shared" si="6"/>
        <v>197.27888841463363</v>
      </c>
      <c r="T257" s="25">
        <v>10.697329760000001</v>
      </c>
      <c r="U257" s="25">
        <v>15.590119140000001</v>
      </c>
      <c r="V257" s="25">
        <v>96.18641126</v>
      </c>
      <c r="W257" s="25">
        <v>95.995326340000005</v>
      </c>
      <c r="X257" s="25">
        <v>26.287448900000001</v>
      </c>
      <c r="Y257" s="25">
        <v>96.073096129999996</v>
      </c>
    </row>
    <row r="258" spans="1:25" s="25" customFormat="1" x14ac:dyDescent="0.2">
      <c r="A258" s="25">
        <v>211.28356930000001</v>
      </c>
      <c r="B258" s="25">
        <v>82.048362729999994</v>
      </c>
      <c r="C258" s="25">
        <v>82.612815859999998</v>
      </c>
      <c r="D258" s="25">
        <v>88.284294130000006</v>
      </c>
      <c r="E258" s="25">
        <v>83.816520690000004</v>
      </c>
      <c r="F258" s="25">
        <v>5.0066123009999997</v>
      </c>
      <c r="G258" s="25">
        <v>4.9025878909999996</v>
      </c>
      <c r="H258" s="25">
        <v>23029.650389999999</v>
      </c>
      <c r="I258" s="25">
        <v>24815.527340000001</v>
      </c>
      <c r="J258" s="25">
        <v>186.66458130000001</v>
      </c>
      <c r="K258" s="25">
        <v>99.632400509999997</v>
      </c>
      <c r="L258" s="25">
        <v>14.411999700000001</v>
      </c>
      <c r="M258" s="25">
        <v>0.472000003</v>
      </c>
      <c r="N258" s="25">
        <v>29.777000430000001</v>
      </c>
      <c r="O258" s="25">
        <v>1.2450000050000001</v>
      </c>
      <c r="P258" s="25">
        <v>81.565124510000004</v>
      </c>
      <c r="Q258" s="25">
        <v>82.259704589999998</v>
      </c>
      <c r="R258" s="61">
        <f t="shared" si="7"/>
        <v>195.10950355150572</v>
      </c>
      <c r="S258" s="61">
        <f t="shared" si="6"/>
        <v>183.29080904196459</v>
      </c>
      <c r="T258" s="25">
        <v>10.785523530000001</v>
      </c>
      <c r="U258" s="25">
        <v>14.757479030000001</v>
      </c>
      <c r="V258" s="25">
        <v>96.828809379999996</v>
      </c>
      <c r="W258" s="25">
        <v>95.37022546</v>
      </c>
      <c r="X258" s="25">
        <v>25.543002560000001</v>
      </c>
      <c r="Y258" s="25">
        <v>95.986719140000005</v>
      </c>
    </row>
    <row r="259" spans="1:25" s="25" customFormat="1" x14ac:dyDescent="0.2">
      <c r="A259" s="25">
        <v>202.30224609999999</v>
      </c>
      <c r="B259" s="25">
        <v>82.371017460000004</v>
      </c>
      <c r="C259" s="25">
        <v>82.521835330000002</v>
      </c>
      <c r="D259" s="25">
        <v>88.300170899999998</v>
      </c>
      <c r="E259" s="25">
        <v>85.018623349999999</v>
      </c>
      <c r="F259" s="25">
        <v>4.9289550780000004</v>
      </c>
      <c r="G259" s="25">
        <v>4.0791320799999999</v>
      </c>
      <c r="H259" s="25">
        <v>23040.380860000001</v>
      </c>
      <c r="I259" s="25">
        <v>24870.689450000002</v>
      </c>
      <c r="J259" s="25">
        <v>191.92611690000001</v>
      </c>
      <c r="K259" s="25">
        <v>99.622901920000004</v>
      </c>
      <c r="L259" s="25">
        <v>14.45199966</v>
      </c>
      <c r="M259" s="25">
        <v>0.49200001399999999</v>
      </c>
      <c r="N259" s="25">
        <v>29.665000920000001</v>
      </c>
      <c r="O259" s="25">
        <v>1.2189999819999999</v>
      </c>
      <c r="P259" s="25">
        <v>82.384254459999994</v>
      </c>
      <c r="Q259" s="25">
        <v>82.535003660000001</v>
      </c>
      <c r="R259" s="61">
        <f t="shared" si="7"/>
        <v>202.74529075055071</v>
      </c>
      <c r="S259" s="61">
        <f t="shared" si="6"/>
        <v>203.18603700447463</v>
      </c>
      <c r="T259" s="25">
        <v>11.755166129999999</v>
      </c>
      <c r="U259" s="25">
        <v>17.686450199999999</v>
      </c>
      <c r="V259" s="25">
        <v>96.707708620000005</v>
      </c>
      <c r="W259" s="25">
        <v>95.617251760000002</v>
      </c>
      <c r="X259" s="25">
        <v>29.441616329999999</v>
      </c>
      <c r="Y259" s="25">
        <v>96.052972589999996</v>
      </c>
    </row>
    <row r="260" spans="1:25" s="25" customFormat="1" x14ac:dyDescent="0.2">
      <c r="A260" s="25">
        <v>209.3348694</v>
      </c>
      <c r="B260" s="25">
        <v>82.386993410000002</v>
      </c>
      <c r="C260" s="25">
        <v>82.304031370000004</v>
      </c>
      <c r="D260" s="25">
        <v>88.662109380000004</v>
      </c>
      <c r="E260" s="25">
        <v>85.098258970000003</v>
      </c>
      <c r="F260" s="25">
        <v>4.8898315429999997</v>
      </c>
      <c r="G260" s="25">
        <v>4.1857910159999996</v>
      </c>
      <c r="H260" s="25">
        <v>22909.164059999999</v>
      </c>
      <c r="I260" s="25">
        <v>24874.832030000001</v>
      </c>
      <c r="J260" s="25">
        <v>192.04071039999999</v>
      </c>
      <c r="K260" s="25">
        <v>99.625801089999996</v>
      </c>
      <c r="L260" s="25">
        <v>14.17099953</v>
      </c>
      <c r="M260" s="25">
        <v>0.45800000400000002</v>
      </c>
      <c r="N260" s="25">
        <v>29.1609993</v>
      </c>
      <c r="O260" s="25">
        <v>1.192999959</v>
      </c>
      <c r="P260" s="25">
        <v>82.365737920000001</v>
      </c>
      <c r="Q260" s="25">
        <v>82.443817139999993</v>
      </c>
      <c r="R260" s="61">
        <f t="shared" si="7"/>
        <v>208.62344451978979</v>
      </c>
      <c r="S260" s="61">
        <f t="shared" si="6"/>
        <v>213.30209811362963</v>
      </c>
      <c r="T260" s="25">
        <v>11.440717340000001</v>
      </c>
      <c r="U260" s="25">
        <v>17.914362539999999</v>
      </c>
      <c r="V260" s="25">
        <v>96.869232220000001</v>
      </c>
      <c r="W260" s="25">
        <v>95.558325740000001</v>
      </c>
      <c r="X260" s="25">
        <v>29.355079870000001</v>
      </c>
      <c r="Y260" s="25">
        <v>96.069710790000002</v>
      </c>
    </row>
    <row r="261" spans="1:25" s="25" customFormat="1" x14ac:dyDescent="0.2">
      <c r="A261" s="25">
        <v>208.50677490000001</v>
      </c>
      <c r="B261" s="25">
        <v>81.932365419999996</v>
      </c>
      <c r="C261" s="25">
        <v>82.301002499999996</v>
      </c>
      <c r="D261" s="25">
        <v>88.169563289999999</v>
      </c>
      <c r="E261" s="25">
        <v>84.851074220000001</v>
      </c>
      <c r="F261" s="25">
        <v>4.9671835900000003</v>
      </c>
      <c r="G261" s="25">
        <v>4.1299438479999999</v>
      </c>
      <c r="H261" s="25">
        <v>22693.285159999999</v>
      </c>
      <c r="I261" s="25">
        <v>24894.51367</v>
      </c>
      <c r="J261" s="25">
        <v>189.06773380000001</v>
      </c>
      <c r="K261" s="25">
        <v>99.629699709999997</v>
      </c>
      <c r="L261" s="25">
        <v>14.17399979</v>
      </c>
      <c r="M261" s="25">
        <v>0.47299998999999998</v>
      </c>
      <c r="N261" s="25">
        <v>29.573999400000002</v>
      </c>
      <c r="O261" s="25">
        <v>1.2389999629999999</v>
      </c>
      <c r="P261" s="25">
        <v>81.796920779999994</v>
      </c>
      <c r="Q261" s="25">
        <v>82.465438840000004</v>
      </c>
      <c r="R261" s="61">
        <f t="shared" si="7"/>
        <v>203.97341966861697</v>
      </c>
      <c r="S261" s="61">
        <f t="shared" si="6"/>
        <v>209.47713205006303</v>
      </c>
      <c r="T261" s="25">
        <v>11.24481439</v>
      </c>
      <c r="U261" s="25">
        <v>18.137994890000002</v>
      </c>
      <c r="V261" s="25">
        <v>96.770669780000006</v>
      </c>
      <c r="W261" s="25">
        <v>95.487411159999994</v>
      </c>
      <c r="X261" s="25">
        <v>29.38280928</v>
      </c>
      <c r="Y261" s="25">
        <v>95.978969950000007</v>
      </c>
    </row>
    <row r="262" spans="1:25" s="25" customFormat="1" x14ac:dyDescent="0.2">
      <c r="A262" s="25">
        <v>204.77828980000001</v>
      </c>
      <c r="B262" s="25">
        <v>82.19782257</v>
      </c>
      <c r="C262" s="25">
        <v>82.967269900000005</v>
      </c>
      <c r="D262" s="25">
        <v>88.851936339999995</v>
      </c>
      <c r="E262" s="25">
        <v>84.63546753</v>
      </c>
      <c r="F262" s="25">
        <v>4.7333679200000001</v>
      </c>
      <c r="G262" s="25">
        <v>4.4974160190000001</v>
      </c>
      <c r="H262" s="25">
        <v>23080.728520000001</v>
      </c>
      <c r="I262" s="25">
        <v>25219.484380000002</v>
      </c>
      <c r="J262" s="25">
        <v>193.8737946</v>
      </c>
      <c r="K262" s="25">
        <v>99.625396730000006</v>
      </c>
      <c r="L262" s="25">
        <v>14.083000180000001</v>
      </c>
      <c r="M262" s="25">
        <v>0.46200001200000002</v>
      </c>
      <c r="N262" s="25">
        <v>29.083000179999999</v>
      </c>
      <c r="O262" s="25">
        <v>1.2250000240000001</v>
      </c>
      <c r="P262" s="25">
        <v>81.999290470000005</v>
      </c>
      <c r="Q262" s="25">
        <v>82.713813779999995</v>
      </c>
      <c r="R262" s="61">
        <f t="shared" si="7"/>
        <v>198.13338650864483</v>
      </c>
      <c r="S262" s="61">
        <f t="shared" ref="S262:S290" si="8">(Q262-C262)*$T$1/100+R262</f>
        <v>189.65016688822965</v>
      </c>
      <c r="T262" s="25">
        <v>11.04407924</v>
      </c>
      <c r="U262" s="25">
        <v>15.59988349</v>
      </c>
      <c r="V262" s="25">
        <v>96.823650700000002</v>
      </c>
      <c r="W262" s="25">
        <v>95.344371699999996</v>
      </c>
      <c r="X262" s="25">
        <v>26.643962729999998</v>
      </c>
      <c r="Y262" s="25">
        <v>95.958162810000005</v>
      </c>
    </row>
    <row r="263" spans="1:25" s="25" customFormat="1" x14ac:dyDescent="0.2">
      <c r="A263" s="25">
        <v>207.3243713</v>
      </c>
      <c r="B263" s="25">
        <v>81.693847660000003</v>
      </c>
      <c r="C263" s="25">
        <v>82.417716979999994</v>
      </c>
      <c r="D263" s="25">
        <v>88.613883970000003</v>
      </c>
      <c r="E263" s="25">
        <v>83.999626160000005</v>
      </c>
      <c r="F263" s="25">
        <v>4.7935791019999998</v>
      </c>
      <c r="G263" s="25">
        <v>4.907663822</v>
      </c>
      <c r="H263" s="25">
        <v>22790.54492</v>
      </c>
      <c r="I263" s="25">
        <v>25107.195309999999</v>
      </c>
      <c r="J263" s="25">
        <v>189.71170040000001</v>
      </c>
      <c r="K263" s="25">
        <v>99.612998959999999</v>
      </c>
      <c r="L263" s="25">
        <v>14.3409996</v>
      </c>
      <c r="M263" s="25">
        <v>0.57800000900000004</v>
      </c>
      <c r="N263" s="25">
        <v>29.521999359999999</v>
      </c>
      <c r="O263" s="25">
        <v>1.230000019</v>
      </c>
      <c r="P263" s="25">
        <v>81.655937190000003</v>
      </c>
      <c r="Q263" s="25">
        <v>82.590858460000007</v>
      </c>
      <c r="R263" s="61">
        <f t="shared" ref="R263:R290" si="9">(P263-B263)*$T$1/100+A263</f>
        <v>206.05550139493261</v>
      </c>
      <c r="S263" s="61">
        <f t="shared" si="8"/>
        <v>211.85057629880066</v>
      </c>
      <c r="T263" s="25">
        <v>11.64727487</v>
      </c>
      <c r="U263" s="25">
        <v>18.183019250000001</v>
      </c>
      <c r="V263" s="25">
        <v>96.125745530000003</v>
      </c>
      <c r="W263" s="25">
        <v>95.91985991</v>
      </c>
      <c r="X263" s="25">
        <v>29.830294129999999</v>
      </c>
      <c r="Y263" s="25">
        <v>96.000259999999997</v>
      </c>
    </row>
    <row r="264" spans="1:25" s="25" customFormat="1" x14ac:dyDescent="0.2">
      <c r="A264" s="25">
        <v>209.32250980000001</v>
      </c>
      <c r="B264" s="25">
        <v>82.424232480000001</v>
      </c>
      <c r="C264" s="25">
        <v>82.668357850000007</v>
      </c>
      <c r="D264" s="25">
        <v>89.029388429999997</v>
      </c>
      <c r="E264" s="25">
        <v>85.025016780000001</v>
      </c>
      <c r="F264" s="25">
        <v>4.5201110839999998</v>
      </c>
      <c r="G264" s="25">
        <v>4.2848715779999997</v>
      </c>
      <c r="H264" s="25">
        <v>22398.376950000002</v>
      </c>
      <c r="I264" s="25">
        <v>25114.714840000001</v>
      </c>
      <c r="J264" s="25">
        <v>195.3525085</v>
      </c>
      <c r="K264" s="25">
        <v>99.607803340000004</v>
      </c>
      <c r="L264" s="25">
        <v>13.96700001</v>
      </c>
      <c r="M264" s="25">
        <v>0.47099998599999998</v>
      </c>
      <c r="N264" s="25">
        <v>29.05500031</v>
      </c>
      <c r="O264" s="25">
        <v>1.2070000169999999</v>
      </c>
      <c r="P264" s="25">
        <v>82.441490169999994</v>
      </c>
      <c r="Q264" s="25">
        <v>82.619514469999999</v>
      </c>
      <c r="R264" s="61">
        <f t="shared" si="9"/>
        <v>209.90012763148493</v>
      </c>
      <c r="S264" s="61">
        <f t="shared" si="8"/>
        <v>208.26533136164758</v>
      </c>
      <c r="T264" s="25">
        <v>11.36491517</v>
      </c>
      <c r="U264" s="25">
        <v>17.21892063</v>
      </c>
      <c r="V264" s="25">
        <v>96.737775409999998</v>
      </c>
      <c r="W264" s="25">
        <v>95.531462570000002</v>
      </c>
      <c r="X264" s="25">
        <v>28.583835789999998</v>
      </c>
      <c r="Y264" s="25">
        <v>96.011499560000004</v>
      </c>
    </row>
    <row r="265" spans="1:25" s="25" customFormat="1" x14ac:dyDescent="0.2">
      <c r="A265" s="25">
        <v>206.01425169999999</v>
      </c>
      <c r="B265" s="25">
        <v>81.799430849999993</v>
      </c>
      <c r="C265" s="25">
        <v>81.967712399999996</v>
      </c>
      <c r="D265" s="25">
        <v>88.564758299999994</v>
      </c>
      <c r="E265" s="25">
        <v>84.516288759999995</v>
      </c>
      <c r="F265" s="25">
        <v>4.8225913050000004</v>
      </c>
      <c r="G265" s="25">
        <v>4.5457153320000003</v>
      </c>
      <c r="H265" s="25">
        <v>23061.324219999999</v>
      </c>
      <c r="I265" s="25">
        <v>25056.48242</v>
      </c>
      <c r="J265" s="25">
        <v>190.5421906</v>
      </c>
      <c r="K265" s="25">
        <v>99.625198359999999</v>
      </c>
      <c r="L265" s="25">
        <v>14.34000015</v>
      </c>
      <c r="M265" s="25">
        <v>0.52999997099999996</v>
      </c>
      <c r="N265" s="25">
        <v>29.812999730000001</v>
      </c>
      <c r="O265" s="25">
        <v>1.279000044</v>
      </c>
      <c r="P265" s="25">
        <v>81.521026610000007</v>
      </c>
      <c r="Q265" s="25">
        <v>81.59669495</v>
      </c>
      <c r="R265" s="61">
        <f t="shared" si="9"/>
        <v>196.69601424266588</v>
      </c>
      <c r="S265" s="61">
        <f t="shared" si="8"/>
        <v>184.27799683059371</v>
      </c>
      <c r="T265" s="25">
        <v>11.14677723</v>
      </c>
      <c r="U265" s="25">
        <v>15.25507541</v>
      </c>
      <c r="V265" s="25">
        <v>96.435776950000005</v>
      </c>
      <c r="W265" s="25">
        <v>95.484529820000006</v>
      </c>
      <c r="X265" s="25">
        <v>26.401852640000001</v>
      </c>
      <c r="Y265" s="25">
        <v>95.886401480000004</v>
      </c>
    </row>
    <row r="266" spans="1:25" s="25" customFormat="1" x14ac:dyDescent="0.2">
      <c r="A266" s="25">
        <v>203.22509769999999</v>
      </c>
      <c r="B266" s="25">
        <v>82.510780330000003</v>
      </c>
      <c r="C266" s="25">
        <v>82.344390869999998</v>
      </c>
      <c r="D266" s="25">
        <v>88.263549800000007</v>
      </c>
      <c r="E266" s="25">
        <v>84.269103999999999</v>
      </c>
      <c r="F266" s="25">
        <v>5.0638427730000002</v>
      </c>
      <c r="G266" s="25">
        <v>4.696309566</v>
      </c>
      <c r="H266" s="25">
        <v>23082.945309999999</v>
      </c>
      <c r="I266" s="25">
        <v>24848.785159999999</v>
      </c>
      <c r="J266" s="25">
        <v>189.1549377</v>
      </c>
      <c r="K266" s="25">
        <v>99.500602720000003</v>
      </c>
      <c r="L266" s="25">
        <v>14.55799961</v>
      </c>
      <c r="M266" s="25">
        <v>0.50700002899999996</v>
      </c>
      <c r="N266" s="25">
        <v>29.447000500000001</v>
      </c>
      <c r="O266" s="25">
        <v>1.2469999789999999</v>
      </c>
      <c r="P266" s="25">
        <v>82.401443479999998</v>
      </c>
      <c r="Q266" s="25">
        <v>82.340476989999999</v>
      </c>
      <c r="R266" s="61">
        <f t="shared" si="9"/>
        <v>199.56557465847942</v>
      </c>
      <c r="S266" s="61">
        <f t="shared" si="8"/>
        <v>199.43457642648588</v>
      </c>
      <c r="T266" s="25">
        <v>11.62679221</v>
      </c>
      <c r="U266" s="25">
        <v>17.00204888</v>
      </c>
      <c r="V266" s="25">
        <v>96.634583199999994</v>
      </c>
      <c r="W266" s="25">
        <v>95.459838099999999</v>
      </c>
      <c r="X266" s="25">
        <v>28.628841090000002</v>
      </c>
      <c r="Y266" s="25">
        <v>95.937316870000004</v>
      </c>
    </row>
    <row r="267" spans="1:25" s="25" customFormat="1" x14ac:dyDescent="0.2">
      <c r="A267" s="25">
        <v>216.40869140000001</v>
      </c>
      <c r="B267" s="25">
        <v>80.892242429999996</v>
      </c>
      <c r="C267" s="25">
        <v>81.859848020000001</v>
      </c>
      <c r="D267" s="25">
        <v>87.567749019999994</v>
      </c>
      <c r="E267" s="25">
        <v>84.992362979999996</v>
      </c>
      <c r="F267" s="25">
        <v>5.7346596720000003</v>
      </c>
      <c r="G267" s="25">
        <v>4.2603759769999998</v>
      </c>
      <c r="H267" s="25">
        <v>21749.105469999999</v>
      </c>
      <c r="I267" s="25">
        <v>24952.632809999999</v>
      </c>
      <c r="J267" s="25">
        <v>198.25556950000001</v>
      </c>
      <c r="K267" s="25">
        <v>99.515998839999995</v>
      </c>
      <c r="L267" s="25">
        <v>12.755000109999999</v>
      </c>
      <c r="M267" s="25">
        <v>0.49700000900000002</v>
      </c>
      <c r="N267" s="25">
        <v>27.20400047</v>
      </c>
      <c r="O267" s="25">
        <v>1.0939999819999999</v>
      </c>
      <c r="P267" s="25">
        <v>80.631912229999998</v>
      </c>
      <c r="Q267" s="25">
        <v>81.812049869999996</v>
      </c>
      <c r="R267" s="61">
        <f t="shared" si="9"/>
        <v>207.69539514806294</v>
      </c>
      <c r="S267" s="61">
        <f t="shared" si="8"/>
        <v>206.09558290482502</v>
      </c>
      <c r="T267" s="25">
        <v>9.9987230419999999</v>
      </c>
      <c r="U267" s="25">
        <v>15.60539322</v>
      </c>
      <c r="V267" s="25">
        <v>96.249622669999994</v>
      </c>
      <c r="W267" s="25">
        <v>96.059905689999994</v>
      </c>
      <c r="X267" s="25">
        <v>25.604116260000001</v>
      </c>
      <c r="Y267" s="25">
        <v>96.134002530000004</v>
      </c>
    </row>
    <row r="268" spans="1:25" s="25" customFormat="1" x14ac:dyDescent="0.2">
      <c r="A268" s="25">
        <v>210.36895749999999</v>
      </c>
      <c r="B268" s="25">
        <v>80.757354739999997</v>
      </c>
      <c r="C268" s="25">
        <v>81.973754880000001</v>
      </c>
      <c r="D268" s="25">
        <v>88.620605470000001</v>
      </c>
      <c r="E268" s="25">
        <v>84.808044429999995</v>
      </c>
      <c r="F268" s="25">
        <v>4.8380126949999998</v>
      </c>
      <c r="G268" s="25">
        <v>4.4404907229999999</v>
      </c>
      <c r="H268" s="25">
        <v>22056.484380000002</v>
      </c>
      <c r="I268" s="25">
        <v>24966.074219999999</v>
      </c>
      <c r="J268" s="25">
        <v>195.80087280000001</v>
      </c>
      <c r="K268" s="25">
        <v>99.484001160000005</v>
      </c>
      <c r="L268" s="25">
        <v>14.369999890000001</v>
      </c>
      <c r="M268" s="25">
        <v>0.472000003</v>
      </c>
      <c r="N268" s="25">
        <v>29.69499969</v>
      </c>
      <c r="O268" s="25">
        <v>1.218000054</v>
      </c>
      <c r="P268" s="25">
        <v>80.689834590000004</v>
      </c>
      <c r="Q268" s="25">
        <v>81.895233149999996</v>
      </c>
      <c r="R268" s="61">
        <f t="shared" si="9"/>
        <v>208.10904654873437</v>
      </c>
      <c r="S268" s="61">
        <f t="shared" si="8"/>
        <v>205.4809108360715</v>
      </c>
      <c r="T268" s="25">
        <v>11.538849819999999</v>
      </c>
      <c r="U268" s="25">
        <v>17.160254030000001</v>
      </c>
      <c r="V268" s="25">
        <v>96.819835560000001</v>
      </c>
      <c r="W268" s="25">
        <v>95.548162050000002</v>
      </c>
      <c r="X268" s="25">
        <v>28.69910385</v>
      </c>
      <c r="Y268" s="25">
        <v>96.059909860000005</v>
      </c>
    </row>
    <row r="269" spans="1:25" s="25" customFormat="1" x14ac:dyDescent="0.2">
      <c r="A269" s="25">
        <v>209.11651610000001</v>
      </c>
      <c r="B269" s="25">
        <v>81.724952700000003</v>
      </c>
      <c r="C269" s="25">
        <v>81.73640442</v>
      </c>
      <c r="D269" s="25">
        <v>88.220214839999997</v>
      </c>
      <c r="E269" s="25">
        <v>84.856117249999997</v>
      </c>
      <c r="F269" s="25">
        <v>5.0404052730000002</v>
      </c>
      <c r="G269" s="25">
        <v>4.5358481409999998</v>
      </c>
      <c r="H269" s="25">
        <v>22029.32617</v>
      </c>
      <c r="I269" s="25">
        <v>25265.771479999999</v>
      </c>
      <c r="J269" s="25">
        <v>191.57879639999999</v>
      </c>
      <c r="K269" s="25">
        <v>99.496299739999998</v>
      </c>
      <c r="L269" s="25">
        <v>13.699000359999999</v>
      </c>
      <c r="M269" s="25">
        <v>0.50900000300000003</v>
      </c>
      <c r="N269" s="25">
        <v>29.565000529999999</v>
      </c>
      <c r="O269" s="25">
        <v>1.2330000400000001</v>
      </c>
      <c r="P269" s="25">
        <v>81.289817810000002</v>
      </c>
      <c r="Q269" s="25">
        <v>81.468299869999996</v>
      </c>
      <c r="R269" s="61">
        <f t="shared" si="9"/>
        <v>194.55247702146025</v>
      </c>
      <c r="S269" s="61">
        <f t="shared" si="8"/>
        <v>185.57897194735699</v>
      </c>
      <c r="T269" s="25">
        <v>10.39185303</v>
      </c>
      <c r="U269" s="25">
        <v>15.584539380000001</v>
      </c>
      <c r="V269" s="25">
        <v>96.417511329999996</v>
      </c>
      <c r="W269" s="25">
        <v>95.715525529999994</v>
      </c>
      <c r="X269" s="25">
        <v>25.976392400000002</v>
      </c>
      <c r="Y269" s="25">
        <v>95.996493220000005</v>
      </c>
    </row>
    <row r="270" spans="1:25" s="25" customFormat="1" x14ac:dyDescent="0.2">
      <c r="A270" s="25">
        <v>206.77230829999999</v>
      </c>
      <c r="B270" s="25">
        <v>82.040573120000005</v>
      </c>
      <c r="C270" s="25">
        <v>82.346687320000001</v>
      </c>
      <c r="D270" s="25">
        <v>88.21440887</v>
      </c>
      <c r="E270" s="25">
        <v>84.888916019999996</v>
      </c>
      <c r="F270" s="25">
        <v>4.9406332969999998</v>
      </c>
      <c r="G270" s="25">
        <v>4.5401611329999998</v>
      </c>
      <c r="H270" s="25">
        <v>22317.162110000001</v>
      </c>
      <c r="I270" s="25">
        <v>25194.835940000001</v>
      </c>
      <c r="J270" s="25">
        <v>189.2373657</v>
      </c>
      <c r="K270" s="25">
        <v>99.480697629999995</v>
      </c>
      <c r="L270" s="25">
        <v>14.34300041</v>
      </c>
      <c r="M270" s="25">
        <v>0.53299999200000003</v>
      </c>
      <c r="N270" s="25">
        <v>30.084999079999999</v>
      </c>
      <c r="O270" s="25">
        <v>1.2649999860000001</v>
      </c>
      <c r="P270" s="25">
        <v>81.634338380000003</v>
      </c>
      <c r="Q270" s="25">
        <v>82.166625980000006</v>
      </c>
      <c r="R270" s="61">
        <f t="shared" si="9"/>
        <v>193.17556217738854</v>
      </c>
      <c r="S270" s="61">
        <f t="shared" si="8"/>
        <v>187.14887837758073</v>
      </c>
      <c r="T270" s="25">
        <v>10.92762894</v>
      </c>
      <c r="U270" s="25">
        <v>16.045567590000001</v>
      </c>
      <c r="V270" s="25">
        <v>96.417047740000001</v>
      </c>
      <c r="W270" s="25">
        <v>95.656717119999996</v>
      </c>
      <c r="X270" s="25">
        <v>26.973196529999999</v>
      </c>
      <c r="Y270" s="25">
        <v>95.964912209999994</v>
      </c>
    </row>
    <row r="271" spans="1:25" s="25" customFormat="1" x14ac:dyDescent="0.2">
      <c r="A271" s="25">
        <v>196.83105470000001</v>
      </c>
      <c r="B271" s="25">
        <v>82.640792849999997</v>
      </c>
      <c r="C271" s="25">
        <v>82.70018005</v>
      </c>
      <c r="D271" s="25">
        <v>88.154754639999993</v>
      </c>
      <c r="E271" s="25">
        <v>84.823616029999997</v>
      </c>
      <c r="F271" s="25">
        <v>4.9234008789999999</v>
      </c>
      <c r="G271" s="25">
        <v>4.4564819340000001</v>
      </c>
      <c r="H271" s="25">
        <v>22515.710940000001</v>
      </c>
      <c r="I271" s="25">
        <v>24998.572270000001</v>
      </c>
      <c r="J271" s="25">
        <v>184.9581451</v>
      </c>
      <c r="K271" s="25">
        <v>99.492897029999995</v>
      </c>
      <c r="L271" s="25">
        <v>14.413999560000001</v>
      </c>
      <c r="M271" s="25">
        <v>0.55500000699999996</v>
      </c>
      <c r="N271" s="25">
        <v>30.68600082</v>
      </c>
      <c r="O271" s="25">
        <v>1.2940000300000001</v>
      </c>
      <c r="P271" s="25">
        <v>82.434402469999995</v>
      </c>
      <c r="Q271" s="25">
        <v>82.899940490000006</v>
      </c>
      <c r="R271" s="61">
        <f t="shared" si="9"/>
        <v>189.92313343504537</v>
      </c>
      <c r="S271" s="61">
        <f t="shared" si="8"/>
        <v>196.60914947597092</v>
      </c>
      <c r="T271" s="25">
        <v>11.357090550000001</v>
      </c>
      <c r="U271" s="25">
        <v>19.00565478</v>
      </c>
      <c r="V271" s="25">
        <v>96.292337340000003</v>
      </c>
      <c r="W271" s="25">
        <v>95.751248200000006</v>
      </c>
      <c r="X271" s="25">
        <v>30.362745329999999</v>
      </c>
      <c r="Y271" s="25">
        <v>95.953721090000002</v>
      </c>
    </row>
    <row r="272" spans="1:25" s="25" customFormat="1" x14ac:dyDescent="0.2">
      <c r="A272" s="25">
        <v>208.8116455</v>
      </c>
      <c r="B272" s="25">
        <v>81.199615480000006</v>
      </c>
      <c r="C272" s="25">
        <v>81.955146790000001</v>
      </c>
      <c r="D272" s="25">
        <v>88.006294249999996</v>
      </c>
      <c r="E272" s="25">
        <v>84.75279999</v>
      </c>
      <c r="F272" s="25">
        <v>5.1012573239999996</v>
      </c>
      <c r="G272" s="25">
        <v>4.4725952150000001</v>
      </c>
      <c r="H272" s="25">
        <v>22453.46875</v>
      </c>
      <c r="I272" s="25">
        <v>24925.816409999999</v>
      </c>
      <c r="J272" s="25">
        <v>189.8234558</v>
      </c>
      <c r="K272" s="25">
        <v>99.484901429999994</v>
      </c>
      <c r="L272" s="25">
        <v>14.380000109999999</v>
      </c>
      <c r="M272" s="25">
        <v>0.54199999600000004</v>
      </c>
      <c r="N272" s="25">
        <v>29.896999359999999</v>
      </c>
      <c r="O272" s="25">
        <v>1.2120000120000001</v>
      </c>
      <c r="P272" s="25">
        <v>81.091369630000003</v>
      </c>
      <c r="Q272" s="25">
        <v>81.822311400000004</v>
      </c>
      <c r="R272" s="61">
        <f t="shared" si="9"/>
        <v>205.18863841479524</v>
      </c>
      <c r="S272" s="61">
        <f t="shared" si="8"/>
        <v>200.74261522650752</v>
      </c>
      <c r="T272" s="25">
        <v>11.52954761</v>
      </c>
      <c r="U272" s="25">
        <v>16.894238340000001</v>
      </c>
      <c r="V272" s="25">
        <v>96.367779170000006</v>
      </c>
      <c r="W272" s="25">
        <v>95.923924970000002</v>
      </c>
      <c r="X272" s="25">
        <v>28.423785949999999</v>
      </c>
      <c r="Y272" s="25">
        <v>96.104021230000001</v>
      </c>
    </row>
    <row r="273" spans="1:25" s="25" customFormat="1" x14ac:dyDescent="0.2">
      <c r="A273" s="25">
        <v>209.59030150000001</v>
      </c>
      <c r="B273" s="25">
        <v>80.938690190000003</v>
      </c>
      <c r="C273" s="25">
        <v>80.831748959999999</v>
      </c>
      <c r="D273" s="25">
        <v>88.529052730000004</v>
      </c>
      <c r="E273" s="25">
        <v>85.057670590000001</v>
      </c>
      <c r="F273" s="25">
        <v>4.653890133</v>
      </c>
      <c r="G273" s="25">
        <v>4.5961303710000001</v>
      </c>
      <c r="H273" s="25">
        <v>22702.322270000001</v>
      </c>
      <c r="I273" s="25">
        <v>25361.320309999999</v>
      </c>
      <c r="J273" s="25">
        <v>189.19311519999999</v>
      </c>
      <c r="K273" s="25">
        <v>99.533500669999995</v>
      </c>
      <c r="L273" s="25">
        <v>14.666000370000001</v>
      </c>
      <c r="M273" s="25">
        <v>0.46500000400000002</v>
      </c>
      <c r="N273" s="25">
        <v>30.341999049999998</v>
      </c>
      <c r="O273" s="25">
        <v>1.243000031</v>
      </c>
      <c r="P273" s="25">
        <v>81.105163570000002</v>
      </c>
      <c r="Q273" s="25">
        <v>80.783035280000007</v>
      </c>
      <c r="R273" s="61">
        <f t="shared" si="9"/>
        <v>215.16219395812163</v>
      </c>
      <c r="S273" s="61">
        <f t="shared" si="8"/>
        <v>213.53173876943438</v>
      </c>
      <c r="T273" s="25">
        <v>12.199801799999999</v>
      </c>
      <c r="U273" s="25">
        <v>18.369890649999999</v>
      </c>
      <c r="V273" s="25">
        <v>96.926838989999993</v>
      </c>
      <c r="W273" s="25">
        <v>95.490986680000006</v>
      </c>
      <c r="X273" s="25">
        <v>30.569692450000002</v>
      </c>
      <c r="Y273" s="25">
        <v>96.064587410000001</v>
      </c>
    </row>
    <row r="274" spans="1:25" s="25" customFormat="1" x14ac:dyDescent="0.2">
      <c r="A274" s="25">
        <v>196.7198181</v>
      </c>
      <c r="B274" s="25">
        <v>81.300582890000001</v>
      </c>
      <c r="C274" s="25">
        <v>80.820800779999999</v>
      </c>
      <c r="D274" s="25">
        <v>87.949066160000001</v>
      </c>
      <c r="E274" s="25">
        <v>84.255973819999994</v>
      </c>
      <c r="F274" s="25">
        <v>6.0226745609999996</v>
      </c>
      <c r="G274" s="25">
        <v>5.1799621580000004</v>
      </c>
      <c r="H274" s="25">
        <v>22031.166020000001</v>
      </c>
      <c r="I274" s="25">
        <v>25262.48242</v>
      </c>
      <c r="J274" s="25">
        <v>184.42366029999999</v>
      </c>
      <c r="K274" s="25">
        <v>99.535598750000005</v>
      </c>
      <c r="L274" s="25">
        <v>14.897000309999999</v>
      </c>
      <c r="M274" s="25">
        <v>0.47999998900000002</v>
      </c>
      <c r="N274" s="25">
        <v>30.945999149999999</v>
      </c>
      <c r="O274" s="25">
        <v>1.27699995</v>
      </c>
      <c r="P274" s="25">
        <v>81.681396480000004</v>
      </c>
      <c r="Q274" s="25">
        <v>80.808235170000003</v>
      </c>
      <c r="R274" s="61">
        <f t="shared" si="9"/>
        <v>209.46571399080995</v>
      </c>
      <c r="S274" s="61">
        <f t="shared" si="8"/>
        <v>209.04514087821576</v>
      </c>
      <c r="T274" s="25">
        <v>12.860038060000001</v>
      </c>
      <c r="U274" s="25">
        <v>19.669787299999999</v>
      </c>
      <c r="V274" s="25">
        <v>96.878454970000007</v>
      </c>
      <c r="W274" s="25">
        <v>95.485949989999995</v>
      </c>
      <c r="X274" s="25">
        <v>32.529825359999997</v>
      </c>
      <c r="Y274" s="25">
        <v>96.036992249999997</v>
      </c>
    </row>
    <row r="275" spans="1:25" s="25" customFormat="1" x14ac:dyDescent="0.2">
      <c r="A275" s="25">
        <v>205.73410029999999</v>
      </c>
      <c r="B275" s="25">
        <v>80.595405580000005</v>
      </c>
      <c r="C275" s="25">
        <v>81.247406010000006</v>
      </c>
      <c r="D275" s="25">
        <v>88.211051940000004</v>
      </c>
      <c r="E275" s="25">
        <v>85.148010249999999</v>
      </c>
      <c r="F275" s="25">
        <v>5.0678305630000002</v>
      </c>
      <c r="G275" s="25">
        <v>4.4854736329999998</v>
      </c>
      <c r="H275" s="25">
        <v>22252.203130000002</v>
      </c>
      <c r="I275" s="25">
        <v>25310.871090000001</v>
      </c>
      <c r="J275" s="25">
        <v>187.3340302</v>
      </c>
      <c r="K275" s="25">
        <v>99.55310059</v>
      </c>
      <c r="L275" s="25">
        <v>14.434000019999999</v>
      </c>
      <c r="M275" s="25">
        <v>0.456999987</v>
      </c>
      <c r="N275" s="25">
        <v>30.3390007</v>
      </c>
      <c r="O275" s="25">
        <v>1.25</v>
      </c>
      <c r="P275" s="25">
        <v>80.546234130000002</v>
      </c>
      <c r="Q275" s="25">
        <v>81.28939819</v>
      </c>
      <c r="R275" s="61">
        <f t="shared" si="9"/>
        <v>204.08832347123661</v>
      </c>
      <c r="S275" s="61">
        <f t="shared" si="8"/>
        <v>205.49380890705856</v>
      </c>
      <c r="T275" s="25">
        <v>11.599478039999999</v>
      </c>
      <c r="U275" s="25">
        <v>18.369558829999999</v>
      </c>
      <c r="V275" s="25">
        <v>96.931032250000001</v>
      </c>
      <c r="W275" s="25">
        <v>95.481179060000002</v>
      </c>
      <c r="X275" s="25">
        <v>29.96903687</v>
      </c>
      <c r="Y275" s="25">
        <v>96.042926420000001</v>
      </c>
    </row>
    <row r="276" spans="1:25" s="25" customFormat="1" x14ac:dyDescent="0.2">
      <c r="A276" s="25">
        <v>205.54046629999999</v>
      </c>
      <c r="B276" s="25">
        <v>81.295455930000003</v>
      </c>
      <c r="C276" s="25">
        <v>80.800270080000004</v>
      </c>
      <c r="D276" s="25">
        <v>87.484283450000007</v>
      </c>
      <c r="E276" s="25">
        <v>84.796142579999994</v>
      </c>
      <c r="F276" s="25">
        <v>5.6701354979999996</v>
      </c>
      <c r="G276" s="25">
        <v>4.5097045900000001</v>
      </c>
      <c r="H276" s="25">
        <v>22233.632809999999</v>
      </c>
      <c r="I276" s="25">
        <v>25294.63867</v>
      </c>
      <c r="J276" s="25">
        <v>191.0063629</v>
      </c>
      <c r="K276" s="25">
        <v>99.519203189999999</v>
      </c>
      <c r="L276" s="25">
        <v>14.0909996</v>
      </c>
      <c r="M276" s="25">
        <v>0.402999997</v>
      </c>
      <c r="N276" s="25">
        <v>29.594999309999999</v>
      </c>
      <c r="O276" s="25">
        <v>1.1399999860000001</v>
      </c>
      <c r="P276" s="25">
        <v>81.18263245</v>
      </c>
      <c r="Q276" s="25">
        <v>80.877929690000002</v>
      </c>
      <c r="R276" s="61">
        <f t="shared" si="9"/>
        <v>201.76424515694964</v>
      </c>
      <c r="S276" s="61">
        <f t="shared" si="8"/>
        <v>204.36352556598354</v>
      </c>
      <c r="T276" s="25">
        <v>11.17220756</v>
      </c>
      <c r="U276" s="25">
        <v>17.855024790000002</v>
      </c>
      <c r="V276" s="25">
        <v>97.219539060000002</v>
      </c>
      <c r="W276" s="25">
        <v>95.708762780000001</v>
      </c>
      <c r="X276" s="25">
        <v>29.027232359999999</v>
      </c>
      <c r="Y276" s="25">
        <v>96.290873559999994</v>
      </c>
    </row>
    <row r="277" spans="1:25" s="25" customFormat="1" x14ac:dyDescent="0.2">
      <c r="A277" s="25">
        <v>189.6789551</v>
      </c>
      <c r="B277" s="25">
        <v>80.513389590000003</v>
      </c>
      <c r="C277" s="25">
        <v>79.625419620000002</v>
      </c>
      <c r="D277" s="25">
        <v>87.342216489999998</v>
      </c>
      <c r="E277" s="25">
        <v>83.331298829999994</v>
      </c>
      <c r="F277" s="25">
        <v>5.2477822300000003</v>
      </c>
      <c r="G277" s="25">
        <v>5.480957031</v>
      </c>
      <c r="H277" s="25">
        <v>20712.402340000001</v>
      </c>
      <c r="I277" s="25">
        <v>24495.015630000002</v>
      </c>
      <c r="J277" s="25">
        <v>184.5837555</v>
      </c>
      <c r="K277" s="25">
        <v>99.525299070000003</v>
      </c>
      <c r="L277" s="25">
        <v>14.194000239999999</v>
      </c>
      <c r="M277" s="25">
        <v>0.416000009</v>
      </c>
      <c r="N277" s="25">
        <v>29.98399925</v>
      </c>
      <c r="O277" s="25">
        <v>1.220999956</v>
      </c>
      <c r="P277" s="25">
        <v>80.361289979999995</v>
      </c>
      <c r="Q277" s="25">
        <v>79.675239559999994</v>
      </c>
      <c r="R277" s="61">
        <f t="shared" si="9"/>
        <v>184.58815517846128</v>
      </c>
      <c r="S277" s="61">
        <f t="shared" si="8"/>
        <v>186.2556370782703</v>
      </c>
      <c r="T277" s="25">
        <v>11.16467832</v>
      </c>
      <c r="U277" s="25">
        <v>17.946361509999999</v>
      </c>
      <c r="V277" s="25">
        <v>97.152635169999996</v>
      </c>
      <c r="W277" s="25">
        <v>95.422979569999995</v>
      </c>
      <c r="X277" s="25">
        <v>29.111039819999998</v>
      </c>
      <c r="Y277" s="25">
        <v>96.087165560000003</v>
      </c>
    </row>
    <row r="278" spans="1:25" s="25" customFormat="1" x14ac:dyDescent="0.2">
      <c r="A278" s="25">
        <v>211.07757570000001</v>
      </c>
      <c r="B278" s="25">
        <v>80.761596679999997</v>
      </c>
      <c r="C278" s="25">
        <v>81.890090939999993</v>
      </c>
      <c r="D278" s="25">
        <v>88.397514340000001</v>
      </c>
      <c r="E278" s="25">
        <v>84.772636410000004</v>
      </c>
      <c r="F278" s="25">
        <v>4.9196372029999997</v>
      </c>
      <c r="G278" s="25">
        <v>4.5006713869999997</v>
      </c>
      <c r="H278" s="25">
        <v>22142.675780000001</v>
      </c>
      <c r="I278" s="25">
        <v>25320.644530000001</v>
      </c>
      <c r="J278" s="25">
        <v>196.45700070000001</v>
      </c>
      <c r="K278" s="25">
        <v>99.558197019999994</v>
      </c>
      <c r="L278" s="25">
        <v>14.02600002</v>
      </c>
      <c r="M278" s="25">
        <v>0.456999987</v>
      </c>
      <c r="N278" s="25">
        <v>29.325000760000002</v>
      </c>
      <c r="O278" s="25">
        <v>1.190000057</v>
      </c>
      <c r="P278" s="25">
        <v>80.631927489999995</v>
      </c>
      <c r="Q278" s="25">
        <v>81.598808289999994</v>
      </c>
      <c r="R278" s="61">
        <f t="shared" si="9"/>
        <v>206.73752576642053</v>
      </c>
      <c r="S278" s="61">
        <f t="shared" si="8"/>
        <v>196.98824572707318</v>
      </c>
      <c r="T278" s="25">
        <v>11.139358509999999</v>
      </c>
      <c r="U278" s="25">
        <v>15.906742940000001</v>
      </c>
      <c r="V278" s="25">
        <v>96.844576489999994</v>
      </c>
      <c r="W278" s="25">
        <v>95.578280120000002</v>
      </c>
      <c r="X278" s="25">
        <v>27.046101449999998</v>
      </c>
      <c r="Y278" s="25">
        <v>96.100278470000006</v>
      </c>
    </row>
    <row r="279" spans="1:25" s="25" customFormat="1" x14ac:dyDescent="0.2">
      <c r="A279" s="25">
        <v>196.47262570000001</v>
      </c>
      <c r="B279" s="25">
        <v>81.015670779999994</v>
      </c>
      <c r="C279" s="25">
        <v>80.468513490000007</v>
      </c>
      <c r="D279" s="25">
        <v>88.871154790000006</v>
      </c>
      <c r="E279" s="25">
        <v>85.519416809999996</v>
      </c>
      <c r="F279" s="25">
        <v>4.6612753869999999</v>
      </c>
      <c r="G279" s="25">
        <v>4.2848510739999996</v>
      </c>
      <c r="H279" s="25">
        <v>22667.191409999999</v>
      </c>
      <c r="I279" s="25">
        <v>25691.269530000001</v>
      </c>
      <c r="J279" s="25">
        <v>197.03218079999999</v>
      </c>
      <c r="K279" s="25">
        <v>99.498497009999994</v>
      </c>
      <c r="L279" s="25">
        <v>14.48799992</v>
      </c>
      <c r="M279" s="25">
        <v>0.5</v>
      </c>
      <c r="N279" s="25">
        <v>29.864999770000001</v>
      </c>
      <c r="O279" s="25">
        <v>1.2949999569999999</v>
      </c>
      <c r="P279" s="25">
        <v>81.202774050000002</v>
      </c>
      <c r="Q279" s="25">
        <v>80.274490360000001</v>
      </c>
      <c r="R279" s="61">
        <f t="shared" si="9"/>
        <v>202.73500409949514</v>
      </c>
      <c r="S279" s="61">
        <f t="shared" si="8"/>
        <v>196.24101680405977</v>
      </c>
      <c r="T279" s="25">
        <v>12.15478025</v>
      </c>
      <c r="U279" s="25">
        <v>17.43003813</v>
      </c>
      <c r="V279" s="25">
        <v>96.663997850000001</v>
      </c>
      <c r="W279" s="25">
        <v>95.27129755</v>
      </c>
      <c r="X279" s="25">
        <v>29.584818380000002</v>
      </c>
      <c r="Y279" s="25">
        <v>95.844030910000001</v>
      </c>
    </row>
    <row r="280" spans="1:25" s="25" customFormat="1" x14ac:dyDescent="0.2">
      <c r="A280" s="25">
        <v>205.43746949999999</v>
      </c>
      <c r="B280" s="25">
        <v>81.199401859999995</v>
      </c>
      <c r="C280" s="25">
        <v>80.766639710000007</v>
      </c>
      <c r="D280" s="25">
        <v>88.141166690000006</v>
      </c>
      <c r="E280" s="25">
        <v>84.786994930000006</v>
      </c>
      <c r="F280" s="25">
        <v>5.171386719</v>
      </c>
      <c r="G280" s="25">
        <v>4.7345581049999996</v>
      </c>
      <c r="H280" s="25">
        <v>22930.240229999999</v>
      </c>
      <c r="I280" s="25">
        <v>25549.70117</v>
      </c>
      <c r="J280" s="25">
        <v>188.7092438</v>
      </c>
      <c r="K280" s="25">
        <v>99.486801150000005</v>
      </c>
      <c r="L280" s="25">
        <v>14.72399998</v>
      </c>
      <c r="M280" s="25">
        <v>0.47799998500000002</v>
      </c>
      <c r="N280" s="25">
        <v>30.260999680000001</v>
      </c>
      <c r="O280" s="25">
        <v>1.256999969</v>
      </c>
      <c r="P280" s="25">
        <v>80.801193240000003</v>
      </c>
      <c r="Q280" s="25">
        <v>80.617942810000002</v>
      </c>
      <c r="R280" s="61">
        <f t="shared" si="9"/>
        <v>192.10935898445101</v>
      </c>
      <c r="S280" s="61">
        <f t="shared" si="8"/>
        <v>187.13244834771081</v>
      </c>
      <c r="T280" s="25">
        <v>11.171202879999999</v>
      </c>
      <c r="U280" s="25">
        <v>16.117171190000001</v>
      </c>
      <c r="V280" s="25">
        <v>96.855676970000005</v>
      </c>
      <c r="W280" s="25">
        <v>95.425914109999994</v>
      </c>
      <c r="X280" s="25">
        <v>27.288374059999999</v>
      </c>
      <c r="Y280" s="25">
        <v>96.011802829999993</v>
      </c>
    </row>
    <row r="281" spans="1:25" s="25" customFormat="1" x14ac:dyDescent="0.2">
      <c r="A281" s="25">
        <v>209.01763919999999</v>
      </c>
      <c r="B281" s="25">
        <v>80.863853449999993</v>
      </c>
      <c r="C281" s="25">
        <v>79.982818600000002</v>
      </c>
      <c r="D281" s="25">
        <v>87.985687260000006</v>
      </c>
      <c r="E281" s="25">
        <v>84.718780519999996</v>
      </c>
      <c r="F281" s="25">
        <v>5.3194274899999998</v>
      </c>
      <c r="G281" s="25">
        <v>4.6403098109999998</v>
      </c>
      <c r="H281" s="25">
        <v>22591.4375</v>
      </c>
      <c r="I281" s="25">
        <v>25508.378909999999</v>
      </c>
      <c r="J281" s="25">
        <v>191.94581600000001</v>
      </c>
      <c r="K281" s="25">
        <v>99.516700740000005</v>
      </c>
      <c r="L281" s="25">
        <v>14.541000370000001</v>
      </c>
      <c r="M281" s="25">
        <v>0.521000028</v>
      </c>
      <c r="N281" s="25">
        <v>30.0359993</v>
      </c>
      <c r="O281" s="25">
        <v>1.2159999610000001</v>
      </c>
      <c r="P281" s="25">
        <v>80.32591248</v>
      </c>
      <c r="Q281" s="25">
        <v>79.915374760000006</v>
      </c>
      <c r="R281" s="61">
        <f t="shared" si="9"/>
        <v>191.0126630671335</v>
      </c>
      <c r="S281" s="61">
        <f t="shared" si="8"/>
        <v>188.75530622459965</v>
      </c>
      <c r="T281" s="25">
        <v>10.81737042</v>
      </c>
      <c r="U281" s="25">
        <v>15.996759239999999</v>
      </c>
      <c r="V281" s="25">
        <v>96.540963919999996</v>
      </c>
      <c r="W281" s="25">
        <v>95.816730899999996</v>
      </c>
      <c r="X281" s="25">
        <v>26.814129659999999</v>
      </c>
      <c r="Y281" s="25">
        <v>96.109049049999996</v>
      </c>
    </row>
    <row r="282" spans="1:25" s="25" customFormat="1" x14ac:dyDescent="0.2">
      <c r="A282" s="25">
        <v>205.0378418</v>
      </c>
      <c r="B282" s="25">
        <v>81.70872498</v>
      </c>
      <c r="C282" s="25">
        <v>80.673309329999995</v>
      </c>
      <c r="D282" s="25">
        <v>88.336791989999995</v>
      </c>
      <c r="E282" s="25">
        <v>85.317985530000001</v>
      </c>
      <c r="F282" s="25">
        <v>5.0126342770000001</v>
      </c>
      <c r="G282" s="25">
        <v>4.5384521480000002</v>
      </c>
      <c r="H282" s="25">
        <v>23239.421880000002</v>
      </c>
      <c r="I282" s="25">
        <v>25612.025389999999</v>
      </c>
      <c r="J282" s="25">
        <v>193.3674316</v>
      </c>
      <c r="K282" s="25">
        <v>99.490699770000006</v>
      </c>
      <c r="L282" s="25">
        <v>14.25800037</v>
      </c>
      <c r="M282" s="25">
        <v>0.583999991</v>
      </c>
      <c r="N282" s="25">
        <v>29.721000669999999</v>
      </c>
      <c r="O282" s="25">
        <v>1.233999968</v>
      </c>
      <c r="P282" s="25">
        <v>81.293998720000005</v>
      </c>
      <c r="Q282" s="25">
        <v>80.615402219999993</v>
      </c>
      <c r="R282" s="61">
        <f t="shared" si="9"/>
        <v>191.15688305284792</v>
      </c>
      <c r="S282" s="61">
        <f t="shared" si="8"/>
        <v>189.21872219205065</v>
      </c>
      <c r="T282" s="25">
        <v>10.88337007</v>
      </c>
      <c r="U282" s="25">
        <v>16.268050469999999</v>
      </c>
      <c r="V282" s="25">
        <v>96.065220479999994</v>
      </c>
      <c r="W282" s="25">
        <v>95.979009320000003</v>
      </c>
      <c r="X282" s="25">
        <v>27.15142054</v>
      </c>
      <c r="Y282" s="25">
        <v>96.013568269999993</v>
      </c>
    </row>
    <row r="283" spans="1:25" s="25" customFormat="1" x14ac:dyDescent="0.2">
      <c r="A283" s="25">
        <v>217.7105713</v>
      </c>
      <c r="B283" s="25">
        <v>79.712493899999998</v>
      </c>
      <c r="C283" s="25">
        <v>80.457305910000002</v>
      </c>
      <c r="D283" s="25">
        <v>88.51654053</v>
      </c>
      <c r="E283" s="25">
        <v>84.711296079999997</v>
      </c>
      <c r="F283" s="25">
        <v>5.0654602049999999</v>
      </c>
      <c r="G283" s="25">
        <v>4.2804160119999999</v>
      </c>
      <c r="H283" s="25">
        <v>22908.453130000002</v>
      </c>
      <c r="I283" s="25">
        <v>24029.001950000002</v>
      </c>
      <c r="J283" s="25">
        <v>194.70463559999999</v>
      </c>
      <c r="K283" s="25">
        <v>99.437301640000001</v>
      </c>
      <c r="L283" s="25">
        <v>14.46800041</v>
      </c>
      <c r="M283" s="25">
        <v>0.50099998700000004</v>
      </c>
      <c r="N283" s="25">
        <v>29.5</v>
      </c>
      <c r="O283" s="25">
        <v>1.18900001</v>
      </c>
      <c r="P283" s="25">
        <v>78.895668029999996</v>
      </c>
      <c r="Q283" s="25">
        <v>80.246124269999996</v>
      </c>
      <c r="R283" s="61">
        <f t="shared" si="9"/>
        <v>190.37126993751386</v>
      </c>
      <c r="S283" s="61">
        <f t="shared" si="8"/>
        <v>183.30298438213077</v>
      </c>
      <c r="T283" s="25">
        <v>10.293526010000001</v>
      </c>
      <c r="U283" s="25">
        <v>14.275086610000001</v>
      </c>
      <c r="V283" s="25">
        <v>96.653083210000005</v>
      </c>
      <c r="W283" s="25">
        <v>95.744918330000004</v>
      </c>
      <c r="X283" s="25">
        <v>24.56861262</v>
      </c>
      <c r="Y283" s="25">
        <v>96.12564759</v>
      </c>
    </row>
    <row r="284" spans="1:25" s="25" customFormat="1" x14ac:dyDescent="0.2">
      <c r="A284" s="25">
        <v>210.71090699999999</v>
      </c>
      <c r="B284" s="25">
        <v>81.572395319999998</v>
      </c>
      <c r="C284" s="25">
        <v>81.028938289999999</v>
      </c>
      <c r="D284" s="25">
        <v>88.522346499999998</v>
      </c>
      <c r="E284" s="25">
        <v>84.762275700000004</v>
      </c>
      <c r="F284" s="25">
        <v>4.8440084460000001</v>
      </c>
      <c r="G284" s="25">
        <v>4.4106106760000001</v>
      </c>
      <c r="H284" s="25">
        <v>22532.867190000001</v>
      </c>
      <c r="I284" s="25">
        <v>25300.04883</v>
      </c>
      <c r="J284" s="25">
        <v>196.29359439999999</v>
      </c>
      <c r="K284" s="25">
        <v>99.480003359999998</v>
      </c>
      <c r="L284" s="25">
        <v>14.319000239999999</v>
      </c>
      <c r="M284" s="25">
        <v>0.59899997699999996</v>
      </c>
      <c r="N284" s="25">
        <v>29.69199944</v>
      </c>
      <c r="O284" s="25">
        <v>1.220999956</v>
      </c>
      <c r="P284" s="25">
        <v>81.405555730000003</v>
      </c>
      <c r="Q284" s="25">
        <v>80.890197749999999</v>
      </c>
      <c r="R284" s="61">
        <f t="shared" si="9"/>
        <v>205.12675743063892</v>
      </c>
      <c r="S284" s="61">
        <f t="shared" si="8"/>
        <v>200.48308786339803</v>
      </c>
      <c r="T284" s="25">
        <v>11.42479808</v>
      </c>
      <c r="U284" s="25">
        <v>16.53226913</v>
      </c>
      <c r="V284" s="25">
        <v>95.984716660000004</v>
      </c>
      <c r="W284" s="25">
        <v>96.095456350000006</v>
      </c>
      <c r="X284" s="25">
        <v>27.957067200000001</v>
      </c>
      <c r="Y284" s="25">
        <v>96.050205480000002</v>
      </c>
    </row>
    <row r="285" spans="1:25" s="25" customFormat="1" x14ac:dyDescent="0.2">
      <c r="A285" s="25">
        <v>193.7947083</v>
      </c>
      <c r="B285" s="25">
        <v>80.215797420000001</v>
      </c>
      <c r="C285" s="25">
        <v>81.601806640000007</v>
      </c>
      <c r="D285" s="25">
        <v>88.69063568</v>
      </c>
      <c r="E285" s="25">
        <v>84.389190670000005</v>
      </c>
      <c r="F285" s="25">
        <v>4.4594421390000001</v>
      </c>
      <c r="G285" s="25">
        <v>4.4527993199999996</v>
      </c>
      <c r="H285" s="25">
        <v>23225.4375</v>
      </c>
      <c r="I285" s="25">
        <v>24839.976559999999</v>
      </c>
      <c r="J285" s="25">
        <v>179.99252319999999</v>
      </c>
      <c r="K285" s="25">
        <v>99.437797549999999</v>
      </c>
      <c r="L285" s="25">
        <v>15.975000380000001</v>
      </c>
      <c r="M285" s="25">
        <v>0.53399997899999996</v>
      </c>
      <c r="N285" s="25">
        <v>31.601999280000001</v>
      </c>
      <c r="O285" s="25">
        <v>1.3450000289999999</v>
      </c>
      <c r="P285" s="25">
        <v>81.088378910000003</v>
      </c>
      <c r="Q285" s="25">
        <v>82.014945979999993</v>
      </c>
      <c r="R285" s="61">
        <f t="shared" si="9"/>
        <v>223.00015978556223</v>
      </c>
      <c r="S285" s="61">
        <f t="shared" si="8"/>
        <v>236.82800404930748</v>
      </c>
      <c r="T285" s="25">
        <v>14.937373839999999</v>
      </c>
      <c r="U285" s="25">
        <v>23.355534389999999</v>
      </c>
      <c r="V285" s="25">
        <v>96.765400889999995</v>
      </c>
      <c r="W285" s="25">
        <v>95.374634560000004</v>
      </c>
      <c r="X285" s="25">
        <v>38.292908230000002</v>
      </c>
      <c r="Y285" s="25">
        <v>95.917685809999995</v>
      </c>
    </row>
    <row r="286" spans="1:25" s="25" customFormat="1" x14ac:dyDescent="0.2">
      <c r="A286" s="25">
        <v>195.32730100000001</v>
      </c>
      <c r="B286" s="25">
        <v>80.185241700000006</v>
      </c>
      <c r="C286" s="25">
        <v>81.111511230000005</v>
      </c>
      <c r="D286" s="25">
        <v>88.294822690000004</v>
      </c>
      <c r="E286" s="25">
        <v>84.08203125</v>
      </c>
      <c r="F286" s="25">
        <v>4.6687927250000003</v>
      </c>
      <c r="G286" s="25">
        <v>4.9744873050000002</v>
      </c>
      <c r="H286" s="25">
        <v>22550.572270000001</v>
      </c>
      <c r="I286" s="25">
        <v>25179.775389999999</v>
      </c>
      <c r="J286" s="25">
        <v>179.24523930000001</v>
      </c>
      <c r="K286" s="25">
        <v>99.437797549999999</v>
      </c>
      <c r="L286" s="25">
        <v>15.696000099999999</v>
      </c>
      <c r="M286" s="25">
        <v>0.545000017</v>
      </c>
      <c r="N286" s="25">
        <v>31.795000080000001</v>
      </c>
      <c r="O286" s="25">
        <v>1.3400000329999999</v>
      </c>
      <c r="P286" s="25">
        <v>79.794784550000003</v>
      </c>
      <c r="Q286" s="25">
        <v>80.944969180000001</v>
      </c>
      <c r="R286" s="61">
        <f t="shared" si="9"/>
        <v>182.2586335091093</v>
      </c>
      <c r="S286" s="61">
        <f t="shared" si="8"/>
        <v>176.6844426543604</v>
      </c>
      <c r="T286" s="25">
        <v>11.91762477</v>
      </c>
      <c r="U286" s="25">
        <v>16.586929439999999</v>
      </c>
      <c r="V286" s="25">
        <v>96.644295220000004</v>
      </c>
      <c r="W286" s="25">
        <v>95.460671210000001</v>
      </c>
      <c r="X286" s="25">
        <v>28.504554209999998</v>
      </c>
      <c r="Y286" s="25">
        <v>95.955937739999996</v>
      </c>
    </row>
    <row r="287" spans="1:25" s="25" customFormat="1" x14ac:dyDescent="0.2">
      <c r="A287" s="25">
        <v>199.04342650000001</v>
      </c>
      <c r="B287" s="25">
        <v>81.099899289999996</v>
      </c>
      <c r="C287" s="25">
        <v>81.796813959999994</v>
      </c>
      <c r="D287" s="25">
        <v>88.106933589999997</v>
      </c>
      <c r="E287" s="25">
        <v>84.51341248</v>
      </c>
      <c r="F287" s="25">
        <v>5.1300864219999998</v>
      </c>
      <c r="G287" s="25">
        <v>4.6537342070000003</v>
      </c>
      <c r="H287" s="25">
        <v>22548.95508</v>
      </c>
      <c r="I287" s="25">
        <v>24980.466799999998</v>
      </c>
      <c r="J287" s="25">
        <v>186.61509699999999</v>
      </c>
      <c r="K287" s="25">
        <v>99.471496579999993</v>
      </c>
      <c r="L287" s="25">
        <v>14.626000400000001</v>
      </c>
      <c r="M287" s="25">
        <v>0.474000007</v>
      </c>
      <c r="N287" s="25">
        <v>30.156999590000002</v>
      </c>
      <c r="O287" s="25">
        <v>1.2560000419999999</v>
      </c>
      <c r="P287" s="25">
        <v>80.771621699999997</v>
      </c>
      <c r="Q287" s="25">
        <v>81.897361759999995</v>
      </c>
      <c r="R287" s="61">
        <f t="shared" si="9"/>
        <v>188.05591950103508</v>
      </c>
      <c r="S287" s="61">
        <f t="shared" si="8"/>
        <v>191.42127153810389</v>
      </c>
      <c r="T287" s="25">
        <v>11.21271076</v>
      </c>
      <c r="U287" s="25">
        <v>17.50655321</v>
      </c>
      <c r="V287" s="25">
        <v>96.860927189999998</v>
      </c>
      <c r="W287" s="25">
        <v>95.450394250000002</v>
      </c>
      <c r="X287" s="25">
        <v>28.719263980000001</v>
      </c>
      <c r="Y287" s="25">
        <v>96.00165518</v>
      </c>
    </row>
    <row r="288" spans="1:25" s="25" customFormat="1" x14ac:dyDescent="0.2">
      <c r="A288" s="25">
        <v>195.652771</v>
      </c>
      <c r="B288" s="25">
        <v>81.674118039999996</v>
      </c>
      <c r="C288" s="25">
        <v>81.165954589999998</v>
      </c>
      <c r="D288" s="25">
        <v>88.021240230000004</v>
      </c>
      <c r="E288" s="25">
        <v>85.858154299999995</v>
      </c>
      <c r="F288" s="25">
        <v>5.091402531</v>
      </c>
      <c r="G288" s="25">
        <v>3.7201027870000001</v>
      </c>
      <c r="H288" s="25">
        <v>22981.082030000001</v>
      </c>
      <c r="I288" s="25">
        <v>25151.941409999999</v>
      </c>
      <c r="J288" s="25">
        <v>184.5541077</v>
      </c>
      <c r="K288" s="25">
        <v>99.454002380000006</v>
      </c>
      <c r="L288" s="25">
        <v>14.626000400000001</v>
      </c>
      <c r="M288" s="25">
        <v>0.474000007</v>
      </c>
      <c r="N288" s="25">
        <v>30.156999590000002</v>
      </c>
      <c r="O288" s="25">
        <v>1.2560000419999999</v>
      </c>
      <c r="P288" s="25">
        <v>81.656555179999998</v>
      </c>
      <c r="Q288" s="25">
        <v>80.951034550000003</v>
      </c>
      <c r="R288" s="61">
        <f t="shared" si="9"/>
        <v>195.06493907649946</v>
      </c>
      <c r="S288" s="61">
        <f t="shared" si="8"/>
        <v>187.8715286346908</v>
      </c>
      <c r="T288" s="25">
        <v>11.834258459999999</v>
      </c>
      <c r="U288" s="25">
        <v>16.8459498</v>
      </c>
      <c r="V288" s="25">
        <v>96.860927189999998</v>
      </c>
      <c r="W288" s="25">
        <v>95.396983120000002</v>
      </c>
      <c r="X288" s="25">
        <v>28.680208260000001</v>
      </c>
      <c r="Y288" s="25">
        <v>96.00165518</v>
      </c>
    </row>
    <row r="289" spans="1:25" s="25" customFormat="1" x14ac:dyDescent="0.2">
      <c r="A289" s="25">
        <v>198.3842468</v>
      </c>
      <c r="B289" s="25">
        <v>81.158637999999996</v>
      </c>
      <c r="C289" s="25">
        <v>81.090629579999998</v>
      </c>
      <c r="D289" s="25">
        <v>87.756660460000006</v>
      </c>
      <c r="E289" s="25">
        <v>84.585563660000005</v>
      </c>
      <c r="F289" s="25">
        <v>5.0835571289999999</v>
      </c>
      <c r="G289" s="25">
        <v>4.4567666050000003</v>
      </c>
      <c r="H289" s="25">
        <v>22521.453130000002</v>
      </c>
      <c r="I289" s="25">
        <v>25078.728520000001</v>
      </c>
      <c r="J289" s="25">
        <v>181.08685299999999</v>
      </c>
      <c r="K289" s="25">
        <v>99.44029999</v>
      </c>
      <c r="L289" s="25">
        <v>14.678000450000001</v>
      </c>
      <c r="M289" s="25">
        <v>0.48399999700000002</v>
      </c>
      <c r="N289" s="25">
        <v>30.81399918</v>
      </c>
      <c r="O289" s="25">
        <v>1.3009999990000001</v>
      </c>
      <c r="P289" s="25">
        <v>80.782882689999994</v>
      </c>
      <c r="Q289" s="25">
        <v>80.971351619999993</v>
      </c>
      <c r="R289" s="61">
        <f t="shared" si="9"/>
        <v>185.80765240461872</v>
      </c>
      <c r="S289" s="61">
        <f t="shared" si="8"/>
        <v>181.8153987137033</v>
      </c>
      <c r="T289" s="25">
        <v>11.165306319999999</v>
      </c>
      <c r="U289" s="25">
        <v>16.825534170000001</v>
      </c>
      <c r="V289" s="25">
        <v>96.807809109999994</v>
      </c>
      <c r="W289" s="25">
        <v>95.378035580000002</v>
      </c>
      <c r="X289" s="25">
        <v>27.990840500000001</v>
      </c>
      <c r="Y289" s="25">
        <v>95.948933420000003</v>
      </c>
    </row>
    <row r="290" spans="1:25" s="25" customFormat="1" x14ac:dyDescent="0.2">
      <c r="A290" s="25">
        <v>190.44113160000001</v>
      </c>
      <c r="B290" s="25">
        <v>81.926963810000004</v>
      </c>
      <c r="C290" s="25">
        <v>81.180839539999994</v>
      </c>
      <c r="D290" s="25">
        <v>87.829902649999994</v>
      </c>
      <c r="E290" s="25">
        <v>83.781127929999997</v>
      </c>
      <c r="F290" s="25">
        <v>5.0783896449999997</v>
      </c>
      <c r="G290" s="25">
        <v>5.1336059570000003</v>
      </c>
      <c r="H290" s="25">
        <v>23134.761719999999</v>
      </c>
      <c r="I290" s="25">
        <v>25265.720700000002</v>
      </c>
      <c r="J290" s="25">
        <v>177.0645294</v>
      </c>
      <c r="K290" s="25">
        <v>99.464599609999993</v>
      </c>
      <c r="L290" s="25">
        <v>14.932000159999999</v>
      </c>
      <c r="M290" s="25">
        <v>0.61199998899999997</v>
      </c>
      <c r="N290" s="25">
        <v>31.291000369999999</v>
      </c>
      <c r="O290" s="25">
        <v>1.3509999509999999</v>
      </c>
      <c r="P290" s="25">
        <v>81.440017699999999</v>
      </c>
      <c r="Q290" s="25">
        <v>81.171401979999999</v>
      </c>
      <c r="R290" s="61">
        <f t="shared" si="9"/>
        <v>174.14296213998961</v>
      </c>
      <c r="S290" s="61">
        <f t="shared" si="8"/>
        <v>173.82708539508874</v>
      </c>
      <c r="T290" s="25">
        <v>11.182481490000001</v>
      </c>
      <c r="U290" s="25">
        <v>17.148163919999998</v>
      </c>
      <c r="V290" s="25">
        <v>96.062789609999996</v>
      </c>
      <c r="W290" s="25">
        <v>95.729625249999998</v>
      </c>
      <c r="X290" s="25">
        <v>28.330645409999999</v>
      </c>
      <c r="Y290" s="25">
        <v>95.861160659999996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4:Y14"/>
  <sheetViews>
    <sheetView workbookViewId="0">
      <selection activeCell="G11" sqref="G11"/>
    </sheetView>
  </sheetViews>
  <sheetFormatPr defaultRowHeight="14.25" x14ac:dyDescent="0.2"/>
  <cols>
    <col min="3" max="3" width="20.625" customWidth="1"/>
    <col min="7" max="7" width="20" customWidth="1"/>
  </cols>
  <sheetData>
    <row r="4" spans="1:25" x14ac:dyDescent="0.2">
      <c r="C4" s="63">
        <f ca="1">C5-0.001</f>
        <v>43453.637589467595</v>
      </c>
    </row>
    <row r="5" spans="1:25" x14ac:dyDescent="0.2">
      <c r="C5" s="63">
        <f ca="1">NOW()</f>
        <v>43453.638589467591</v>
      </c>
    </row>
    <row r="6" spans="1:25" x14ac:dyDescent="0.2">
      <c r="C6" s="62"/>
    </row>
    <row r="10" spans="1:25" x14ac:dyDescent="0.2">
      <c r="G10" s="65" t="s">
        <v>100</v>
      </c>
    </row>
    <row r="11" spans="1:25" x14ac:dyDescent="0.2">
      <c r="G11" s="66">
        <f t="array" aca="1" ref="G11:H11" ca="1">_xll.PIAdvCalcDat(Sheet1!$G$10,Sheet1!$C$4,Sheet1!$C$5,"1m","average (time-weighted)","time-weighted",0,1,65,"")</f>
        <v>43453.637589467595</v>
      </c>
      <c r="H11" s="64">
        <f ca="1"/>
        <v>31.998193727654574</v>
      </c>
    </row>
    <row r="12" spans="1:25" s="2" customFormat="1" x14ac:dyDescent="0.2">
      <c r="A12" s="51" t="s">
        <v>87</v>
      </c>
      <c r="B12" s="51" t="s">
        <v>73</v>
      </c>
      <c r="C12" s="51" t="s">
        <v>74</v>
      </c>
      <c r="D12" s="51" t="s">
        <v>75</v>
      </c>
      <c r="E12" s="51" t="s">
        <v>76</v>
      </c>
      <c r="F12" s="51" t="s">
        <v>77</v>
      </c>
      <c r="G12" s="51" t="s">
        <v>99</v>
      </c>
      <c r="H12" s="51" t="s">
        <v>79</v>
      </c>
      <c r="I12" s="51" t="s">
        <v>80</v>
      </c>
      <c r="J12" s="51" t="s">
        <v>81</v>
      </c>
      <c r="K12" s="51" t="s">
        <v>82</v>
      </c>
      <c r="L12" s="52" t="s">
        <v>83</v>
      </c>
      <c r="M12" s="52" t="s">
        <v>84</v>
      </c>
      <c r="N12" s="52" t="s">
        <v>85</v>
      </c>
      <c r="O12" s="52" t="s">
        <v>86</v>
      </c>
      <c r="P12" s="51" t="s">
        <v>73</v>
      </c>
      <c r="Q12" s="51" t="s">
        <v>74</v>
      </c>
      <c r="R12" s="51"/>
      <c r="S12" s="51"/>
      <c r="U12" s="51"/>
    </row>
    <row r="13" spans="1:25" s="2" customFormat="1" x14ac:dyDescent="0.2">
      <c r="A13" s="2" t="s">
        <v>21</v>
      </c>
      <c r="B13" s="2" t="s">
        <v>22</v>
      </c>
      <c r="C13" s="2" t="s">
        <v>23</v>
      </c>
      <c r="D13" s="2" t="s">
        <v>24</v>
      </c>
      <c r="E13" s="2" t="s">
        <v>25</v>
      </c>
      <c r="F13" s="2" t="s">
        <v>26</v>
      </c>
      <c r="G13" s="2" t="s">
        <v>27</v>
      </c>
      <c r="H13" s="2" t="s">
        <v>28</v>
      </c>
      <c r="I13" s="2" t="s">
        <v>29</v>
      </c>
      <c r="J13" s="2" t="s">
        <v>30</v>
      </c>
      <c r="K13" s="2" t="s">
        <v>31</v>
      </c>
      <c r="L13" s="2" t="s">
        <v>32</v>
      </c>
      <c r="M13" s="2" t="s">
        <v>33</v>
      </c>
      <c r="N13" s="2" t="s">
        <v>34</v>
      </c>
      <c r="O13" s="2" t="s">
        <v>35</v>
      </c>
      <c r="P13" s="2" t="s">
        <v>36</v>
      </c>
      <c r="Q13" s="2" t="s">
        <v>37</v>
      </c>
      <c r="R13" s="2" t="s">
        <v>38</v>
      </c>
      <c r="S13" s="2" t="s">
        <v>39</v>
      </c>
      <c r="T13" s="2" t="s">
        <v>40</v>
      </c>
      <c r="U13" s="2" t="s">
        <v>41</v>
      </c>
      <c r="V13" s="2" t="s">
        <v>42</v>
      </c>
      <c r="W13" s="2" t="s">
        <v>43</v>
      </c>
      <c r="X13" s="2" t="s">
        <v>44</v>
      </c>
      <c r="Y13" s="2" t="s">
        <v>45</v>
      </c>
    </row>
    <row r="14" spans="1:25" x14ac:dyDescent="0.2">
      <c r="B14" s="64" t="str">
        <f t="array" aca="1" ref="B14" ca="1">_xll.PITimeDat(Sheet1!$B$12,Sheet1!$C$5,"","exact time")</f>
        <v>Tag not found</v>
      </c>
      <c r="G14" s="64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6:AA24"/>
  <sheetViews>
    <sheetView zoomScale="70" zoomScaleNormal="70" workbookViewId="0">
      <selection activeCell="C9" sqref="C9"/>
    </sheetView>
  </sheetViews>
  <sheetFormatPr defaultRowHeight="14.25" x14ac:dyDescent="0.2"/>
  <cols>
    <col min="1" max="2" width="9" style="2"/>
    <col min="3" max="3" width="26.5" style="2" bestFit="1" customWidth="1"/>
    <col min="4" max="5" width="14.375" style="2" bestFit="1" customWidth="1"/>
    <col min="6" max="7" width="14.75" style="2" bestFit="1" customWidth="1"/>
    <col min="8" max="9" width="19.375" style="2" bestFit="1" customWidth="1"/>
    <col min="10" max="11" width="17.5" style="2" bestFit="1" customWidth="1"/>
    <col min="12" max="12" width="13.625" style="2" bestFit="1" customWidth="1"/>
    <col min="13" max="13" width="24.375" style="2" bestFit="1" customWidth="1"/>
    <col min="14" max="14" width="17.125" style="2" bestFit="1" customWidth="1"/>
    <col min="15" max="15" width="19" style="2" bestFit="1" customWidth="1"/>
    <col min="16" max="16" width="17.125" style="2" bestFit="1" customWidth="1"/>
    <col min="17" max="17" width="19" style="2" bestFit="1" customWidth="1"/>
    <col min="18" max="19" width="23.5" style="2" bestFit="1" customWidth="1"/>
    <col min="20" max="20" width="34.125" style="2" bestFit="1" customWidth="1"/>
    <col min="21" max="21" width="18.375" style="2" bestFit="1" customWidth="1"/>
    <col min="22" max="23" width="20.25" style="2" bestFit="1" customWidth="1"/>
    <col min="24" max="25" width="16" style="2" bestFit="1" customWidth="1"/>
    <col min="26" max="26" width="25.875" style="2" bestFit="1" customWidth="1"/>
    <col min="27" max="27" width="21.5" style="2" bestFit="1" customWidth="1"/>
    <col min="28" max="16384" width="9" style="2"/>
  </cols>
  <sheetData>
    <row r="6" spans="2:27" x14ac:dyDescent="0.2">
      <c r="C6" s="2" t="s">
        <v>88</v>
      </c>
      <c r="D6" s="2">
        <f>Prototype!B6</f>
        <v>1</v>
      </c>
    </row>
    <row r="7" spans="2:27" ht="15" x14ac:dyDescent="0.2">
      <c r="C7" s="3" t="s">
        <v>21</v>
      </c>
      <c r="D7" s="3" t="s">
        <v>22</v>
      </c>
      <c r="E7" s="3" t="s">
        <v>23</v>
      </c>
      <c r="F7" s="3" t="s">
        <v>24</v>
      </c>
      <c r="G7" s="3" t="s">
        <v>25</v>
      </c>
      <c r="H7" s="3" t="s">
        <v>26</v>
      </c>
      <c r="I7" s="3" t="s">
        <v>27</v>
      </c>
      <c r="J7" s="3" t="s">
        <v>28</v>
      </c>
      <c r="K7" s="3" t="s">
        <v>29</v>
      </c>
      <c r="L7" s="3" t="s">
        <v>30</v>
      </c>
      <c r="M7" s="3" t="s">
        <v>31</v>
      </c>
      <c r="N7" s="3" t="s">
        <v>32</v>
      </c>
      <c r="O7" s="3" t="s">
        <v>33</v>
      </c>
      <c r="P7" s="3" t="s">
        <v>34</v>
      </c>
      <c r="Q7" s="3" t="s">
        <v>35</v>
      </c>
      <c r="R7" s="3" t="s">
        <v>36</v>
      </c>
      <c r="S7" s="3" t="s">
        <v>37</v>
      </c>
      <c r="T7" s="3" t="s">
        <v>38</v>
      </c>
      <c r="U7" s="3" t="s">
        <v>39</v>
      </c>
      <c r="V7" s="3" t="s">
        <v>40</v>
      </c>
      <c r="W7" s="3" t="s">
        <v>41</v>
      </c>
      <c r="X7" s="3" t="s">
        <v>42</v>
      </c>
      <c r="Y7" s="3" t="s">
        <v>43</v>
      </c>
      <c r="Z7" s="3" t="s">
        <v>44</v>
      </c>
      <c r="AA7" s="3" t="s">
        <v>45</v>
      </c>
    </row>
    <row r="8" spans="2:27" ht="15" x14ac:dyDescent="0.2">
      <c r="C8" s="3">
        <f>Prototype!E20</f>
        <v>207.3675537</v>
      </c>
      <c r="D8" s="3">
        <f>Prototype!J17</f>
        <v>84.943710330000002</v>
      </c>
      <c r="E8" s="3">
        <f>Prototype!U17</f>
        <v>83.082633970000003</v>
      </c>
      <c r="F8" s="3">
        <f>Prototype!J20</f>
        <v>87.762451170000006</v>
      </c>
      <c r="G8" s="3">
        <f>Prototype!U20</f>
        <v>85.647575380000006</v>
      </c>
      <c r="H8" s="3">
        <f>Prototype!O8</f>
        <v>5.3705139160000002</v>
      </c>
      <c r="I8" s="3">
        <f>Prototype!Z8</f>
        <v>4.8664345740000003</v>
      </c>
      <c r="J8" s="3">
        <f>Prototype!J27</f>
        <v>22437.878909999999</v>
      </c>
      <c r="K8" s="3">
        <f>Prototype!U27</f>
        <v>23531.783200000002</v>
      </c>
      <c r="L8" s="3">
        <f>Prototype!AF19</f>
        <v>193.79502869999999</v>
      </c>
      <c r="M8" s="3">
        <f>Prototype!H20</f>
        <v>99.829200740000005</v>
      </c>
      <c r="N8" s="3">
        <f>Prototype!M39</f>
        <v>14.019000050000001</v>
      </c>
      <c r="O8" s="3">
        <f>Prototype!N39</f>
        <v>0.44900000099999998</v>
      </c>
      <c r="P8" s="3">
        <f>Prototype!O39</f>
        <v>28.583000179999999</v>
      </c>
      <c r="Q8" s="3">
        <f>Prototype!P39</f>
        <v>1.1189999580000001</v>
      </c>
      <c r="R8" s="3">
        <f>Prototype!Q39</f>
        <v>84.905967709999999</v>
      </c>
      <c r="S8" s="3">
        <f>Prototype!R39</f>
        <v>83.524291989999995</v>
      </c>
      <c r="T8" s="3">
        <f>Prototype!S21</f>
        <v>206.10430176309711</v>
      </c>
      <c r="U8" s="3">
        <f>Prototype!AD21</f>
        <v>220.88667111672527</v>
      </c>
      <c r="V8" s="3">
        <f>Prototype!U39</f>
        <v>11.260875715782495</v>
      </c>
      <c r="W8" s="3">
        <f>Prototype!V39</f>
        <v>18.700357900823057</v>
      </c>
      <c r="X8" s="3">
        <f>Prototype!W39</f>
        <v>96.896599395788868</v>
      </c>
      <c r="Y8" s="3">
        <f>Prototype!X39</f>
        <v>96.23257708975504</v>
      </c>
      <c r="Z8" s="3">
        <f>Prototype!Y39</f>
        <v>29.961233616605554</v>
      </c>
      <c r="AA8" s="3">
        <f>Prototype!Z39</f>
        <v>96.23257708975504</v>
      </c>
    </row>
    <row r="10" spans="2:27" x14ac:dyDescent="0.2">
      <c r="B10" s="77" t="s">
        <v>47</v>
      </c>
      <c r="C10" s="77"/>
    </row>
    <row r="11" spans="2:27" x14ac:dyDescent="0.2">
      <c r="B11" s="2" t="s">
        <v>53</v>
      </c>
      <c r="C11" s="2">
        <f>Calculation!B11</f>
        <v>13.739615558061649</v>
      </c>
    </row>
    <row r="12" spans="2:27" x14ac:dyDescent="0.2">
      <c r="B12" s="2" t="str">
        <f>Calculation!A12</f>
        <v>Validate</v>
      </c>
      <c r="C12" s="2">
        <f>Calculation!B12</f>
        <v>14.019000050000001</v>
      </c>
    </row>
    <row r="14" spans="2:27" x14ac:dyDescent="0.2">
      <c r="B14" s="77" t="s">
        <v>50</v>
      </c>
      <c r="C14" s="77"/>
    </row>
    <row r="15" spans="2:27" x14ac:dyDescent="0.2">
      <c r="B15" s="2" t="s">
        <v>53</v>
      </c>
      <c r="C15" s="2">
        <f>Calculation!B47</f>
        <v>0.44793317045898962</v>
      </c>
    </row>
    <row r="16" spans="2:27" x14ac:dyDescent="0.2">
      <c r="B16" s="2" t="str">
        <f>Calculation!A48</f>
        <v>Validate</v>
      </c>
      <c r="C16" s="2">
        <f>Calculation!B48</f>
        <v>0.44900000099999998</v>
      </c>
    </row>
    <row r="18" spans="2:3" x14ac:dyDescent="0.2">
      <c r="B18" s="77" t="s">
        <v>51</v>
      </c>
      <c r="C18" s="77"/>
    </row>
    <row r="19" spans="2:3" x14ac:dyDescent="0.2">
      <c r="B19" s="2" t="s">
        <v>53</v>
      </c>
      <c r="C19" s="2">
        <f>Calculation!B90</f>
        <v>28.294642714546981</v>
      </c>
    </row>
    <row r="20" spans="2:3" x14ac:dyDescent="0.2">
      <c r="B20" s="2" t="str">
        <f>Calculation!A91</f>
        <v>Validate</v>
      </c>
      <c r="C20" s="2">
        <f>Calculation!B91</f>
        <v>28.583000179999999</v>
      </c>
    </row>
    <row r="22" spans="2:3" x14ac:dyDescent="0.2">
      <c r="B22" s="77" t="s">
        <v>52</v>
      </c>
      <c r="C22" s="77"/>
    </row>
    <row r="23" spans="2:3" x14ac:dyDescent="0.2">
      <c r="B23" s="2" t="s">
        <v>53</v>
      </c>
      <c r="C23" s="2">
        <f>Calculation!B136</f>
        <v>1.0718507204299779</v>
      </c>
    </row>
    <row r="24" spans="2:3" x14ac:dyDescent="0.2">
      <c r="B24" s="2" t="str">
        <f>Calculation!A137</f>
        <v>Validate</v>
      </c>
      <c r="C24" s="2">
        <f>Calculation!B137</f>
        <v>1.1189999580000001</v>
      </c>
    </row>
  </sheetData>
  <sheetProtection algorithmName="SHA-512" hashValue="sPZcFgHpfmdN9M1iVFlCPfMn9r8xUVU8ZMfmW0vt7aPCCRVTUGXQy0j759jRa0NuGBfFXUtmzCGAKLnXmzC8dQ==" saltValue="n2kldh5+GegRVD+rsR+evQ==" spinCount="100000" sheet="1" objects="1" scenarios="1"/>
  <mergeCells count="4">
    <mergeCell ref="B10:C10"/>
    <mergeCell ref="B14:C14"/>
    <mergeCell ref="B18:C18"/>
    <mergeCell ref="B22:C2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174"/>
  <sheetViews>
    <sheetView topLeftCell="AL1" zoomScale="40" zoomScaleNormal="40" workbookViewId="0">
      <selection activeCell="AY52" sqref="AY52"/>
    </sheetView>
  </sheetViews>
  <sheetFormatPr defaultRowHeight="15" x14ac:dyDescent="0.2"/>
  <cols>
    <col min="1" max="1" width="9.75" style="3" hidden="1" customWidth="1"/>
    <col min="2" max="2" width="20.125" style="3" hidden="1" customWidth="1"/>
    <col min="3" max="4" width="16.625" style="3" hidden="1" customWidth="1"/>
    <col min="5" max="5" width="19.375" style="3" hidden="1" customWidth="1"/>
    <col min="6" max="6" width="20.125" style="3" hidden="1" customWidth="1"/>
    <col min="7" max="7" width="15" style="3" hidden="1" customWidth="1"/>
    <col min="8" max="9" width="16.625" style="3" hidden="1" customWidth="1"/>
    <col min="10" max="10" width="9" style="3" hidden="1" customWidth="1"/>
    <col min="11" max="13" width="9.125" style="3" hidden="1" customWidth="1"/>
    <col min="14" max="14" width="9.375" style="3" hidden="1" customWidth="1"/>
    <col min="15" max="15" width="9.125" style="3" hidden="1" customWidth="1"/>
    <col min="16" max="17" width="8.75" style="3" hidden="1" customWidth="1"/>
    <col min="18" max="18" width="7.375" style="3" hidden="1" customWidth="1"/>
    <col min="19" max="32" width="8.75" style="3" hidden="1" customWidth="1"/>
    <col min="33" max="33" width="9" style="3" hidden="1" customWidth="1"/>
    <col min="34" max="36" width="9.125" style="3" hidden="1" customWidth="1"/>
    <col min="37" max="37" width="9" style="3" hidden="1" customWidth="1"/>
    <col min="38" max="47" width="9" style="3" customWidth="1"/>
    <col min="48" max="16384" width="9" style="3"/>
  </cols>
  <sheetData>
    <row r="1" spans="1:35" x14ac:dyDescent="0.2">
      <c r="B1" s="3" t="s">
        <v>21</v>
      </c>
      <c r="C1" s="3" t="s">
        <v>22</v>
      </c>
      <c r="D1" s="3" t="s">
        <v>23</v>
      </c>
      <c r="E1" s="3" t="s">
        <v>24</v>
      </c>
      <c r="F1" s="3" t="s">
        <v>25</v>
      </c>
      <c r="G1" s="3" t="s">
        <v>26</v>
      </c>
      <c r="H1" s="3" t="s">
        <v>27</v>
      </c>
      <c r="I1" s="3" t="s">
        <v>28</v>
      </c>
      <c r="J1" s="3" t="s">
        <v>29</v>
      </c>
      <c r="K1" s="3" t="s">
        <v>30</v>
      </c>
      <c r="L1" s="3" t="s">
        <v>31</v>
      </c>
      <c r="M1" s="3" t="s">
        <v>32</v>
      </c>
      <c r="N1" s="3" t="s">
        <v>33</v>
      </c>
      <c r="O1" s="3" t="s">
        <v>34</v>
      </c>
      <c r="P1" s="3" t="s">
        <v>35</v>
      </c>
      <c r="Q1" s="3" t="s">
        <v>36</v>
      </c>
      <c r="R1" s="3" t="s">
        <v>37</v>
      </c>
      <c r="S1" s="3" t="s">
        <v>38</v>
      </c>
      <c r="T1" s="3" t="s">
        <v>39</v>
      </c>
      <c r="U1" s="3" t="s">
        <v>40</v>
      </c>
      <c r="V1" s="3" t="s">
        <v>41</v>
      </c>
      <c r="W1" s="3" t="s">
        <v>42</v>
      </c>
      <c r="X1" s="3" t="s">
        <v>43</v>
      </c>
      <c r="Y1" s="3" t="s">
        <v>44</v>
      </c>
      <c r="Z1" s="3" t="s">
        <v>45</v>
      </c>
    </row>
    <row r="2" spans="1:35" x14ac:dyDescent="0.2">
      <c r="B2" s="3">
        <f>Monitor!C8</f>
        <v>207.3675537</v>
      </c>
      <c r="C2" s="3">
        <f>Monitor!D8</f>
        <v>84.943710330000002</v>
      </c>
      <c r="D2" s="3">
        <f>Monitor!E8</f>
        <v>83.082633970000003</v>
      </c>
      <c r="E2" s="3">
        <f>Monitor!F8</f>
        <v>87.762451170000006</v>
      </c>
      <c r="F2" s="3">
        <f>Monitor!G8</f>
        <v>85.647575380000006</v>
      </c>
      <c r="G2" s="3">
        <f>Monitor!H8</f>
        <v>5.3705139160000002</v>
      </c>
      <c r="H2" s="3">
        <f>Monitor!I8</f>
        <v>4.8664345740000003</v>
      </c>
      <c r="I2" s="3">
        <f>Monitor!J8</f>
        <v>22437.878909999999</v>
      </c>
      <c r="J2" s="3">
        <f>Monitor!K8</f>
        <v>23531.783200000002</v>
      </c>
      <c r="K2" s="3">
        <f>Monitor!L8</f>
        <v>193.79502869999999</v>
      </c>
      <c r="L2" s="3">
        <f>Monitor!M8</f>
        <v>99.829200740000005</v>
      </c>
      <c r="M2" s="3">
        <f>Monitor!N8</f>
        <v>14.019000050000001</v>
      </c>
      <c r="N2" s="3">
        <f>Monitor!O8</f>
        <v>0.44900000099999998</v>
      </c>
      <c r="O2" s="3">
        <f>Monitor!P8</f>
        <v>28.583000179999999</v>
      </c>
      <c r="P2" s="3">
        <f>Monitor!Q8</f>
        <v>1.1189999580000001</v>
      </c>
      <c r="Q2" s="3">
        <f>Monitor!R8</f>
        <v>84.905967709999999</v>
      </c>
      <c r="R2" s="3">
        <f>Monitor!S8</f>
        <v>83.524291989999995</v>
      </c>
      <c r="S2" s="3">
        <f>Monitor!T8</f>
        <v>206.10430176309711</v>
      </c>
      <c r="T2" s="3">
        <f>Monitor!U8</f>
        <v>220.88667111672527</v>
      </c>
      <c r="U2" s="3">
        <f>Monitor!V8</f>
        <v>11.260875715782495</v>
      </c>
      <c r="V2" s="3">
        <f>Monitor!W8</f>
        <v>18.700357900823057</v>
      </c>
      <c r="W2" s="3">
        <f>Monitor!X8</f>
        <v>96.896599395788868</v>
      </c>
      <c r="X2" s="3">
        <f>Monitor!Y8</f>
        <v>96.23257708975504</v>
      </c>
      <c r="Y2" s="3">
        <f>Monitor!Z8</f>
        <v>29.961233616605554</v>
      </c>
      <c r="Z2" s="3">
        <f>Monitor!AA8</f>
        <v>96.23257708975504</v>
      </c>
    </row>
    <row r="5" spans="1:35" x14ac:dyDescent="0.2">
      <c r="C5" s="4"/>
      <c r="D5" s="4"/>
    </row>
    <row r="6" spans="1:35" x14ac:dyDescent="0.2">
      <c r="D6" s="4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</row>
    <row r="7" spans="1:35" x14ac:dyDescent="0.2">
      <c r="A7" s="3" t="s">
        <v>1</v>
      </c>
      <c r="B7" s="3" t="str">
        <f>B1</f>
        <v>Combined Feed to OX-1201</v>
      </c>
      <c r="C7" s="3" t="str">
        <f t="shared" ref="C7:C8" si="0">C1</f>
        <v>Level OX-1201</v>
      </c>
      <c r="D7" s="3" t="str">
        <f>E1</f>
        <v>Temp OX-1201</v>
      </c>
      <c r="E7" s="3" t="str">
        <f>G1</f>
        <v>O2 Excess OX-1201</v>
      </c>
      <c r="F7" s="3" t="str">
        <f>I1</f>
        <v>Air Feed OX-1201</v>
      </c>
      <c r="G7" s="3" t="str">
        <f>K1</f>
        <v>Feed to PFC</v>
      </c>
      <c r="H7" s="3" t="str">
        <f>L1</f>
        <v>Cumene in combined feed</v>
      </c>
      <c r="I7" s="3" t="str">
        <f>Q1</f>
        <v>Level OX-1201 Last Hour</v>
      </c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</row>
    <row r="8" spans="1:35" x14ac:dyDescent="0.2">
      <c r="B8" s="3">
        <f>B2</f>
        <v>207.3675537</v>
      </c>
      <c r="C8" s="3">
        <f t="shared" si="0"/>
        <v>84.943710330000002</v>
      </c>
      <c r="D8" s="3">
        <f>E2</f>
        <v>87.762451170000006</v>
      </c>
      <c r="E8" s="3">
        <f>G2</f>
        <v>5.3705139160000002</v>
      </c>
      <c r="F8" s="3">
        <f>I2</f>
        <v>22437.878909999999</v>
      </c>
      <c r="G8" s="3">
        <f>K2</f>
        <v>193.79502869999999</v>
      </c>
      <c r="H8" s="3">
        <f>L2</f>
        <v>99.829200740000005</v>
      </c>
      <c r="I8" s="3">
        <f>Q2</f>
        <v>84.905967709999999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</row>
    <row r="9" spans="1:35" x14ac:dyDescent="0.2"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</row>
    <row r="10" spans="1:35" x14ac:dyDescent="0.2">
      <c r="K10" s="5"/>
      <c r="L10" s="5"/>
      <c r="M10" s="6" t="s">
        <v>2</v>
      </c>
      <c r="N10" s="6"/>
      <c r="O10" s="6"/>
      <c r="P10" s="6"/>
      <c r="Q10" s="6"/>
      <c r="R10" s="6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</row>
    <row r="11" spans="1:35" x14ac:dyDescent="0.2">
      <c r="A11" s="3" t="s">
        <v>15</v>
      </c>
      <c r="B11" s="7">
        <f>M36+(AB22+1)/M37</f>
        <v>13.739615558061649</v>
      </c>
      <c r="J11" s="3" t="s">
        <v>16</v>
      </c>
      <c r="K11" s="5"/>
      <c r="L11" s="5"/>
      <c r="M11" s="6" t="s">
        <v>1</v>
      </c>
      <c r="N11" s="6"/>
      <c r="O11" s="6"/>
      <c r="P11" s="6"/>
      <c r="Q11" s="6"/>
      <c r="R11" s="6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</row>
    <row r="12" spans="1:35" x14ac:dyDescent="0.2">
      <c r="A12" s="3" t="s">
        <v>46</v>
      </c>
      <c r="B12" s="3">
        <f>M2</f>
        <v>14.019000050000001</v>
      </c>
      <c r="J12" s="3" t="s">
        <v>18</v>
      </c>
      <c r="L12" s="8" t="s">
        <v>0</v>
      </c>
      <c r="M12" s="5">
        <v>1</v>
      </c>
      <c r="N12" s="5">
        <v>2</v>
      </c>
      <c r="O12" s="5">
        <v>3</v>
      </c>
      <c r="P12" s="5">
        <v>4</v>
      </c>
      <c r="Q12" s="5">
        <v>5</v>
      </c>
      <c r="R12" s="5">
        <v>6</v>
      </c>
      <c r="S12" s="5">
        <v>7</v>
      </c>
      <c r="T12" s="5">
        <v>8</v>
      </c>
      <c r="U12" s="5"/>
      <c r="V12" s="6" t="s">
        <v>8</v>
      </c>
      <c r="W12" s="6"/>
      <c r="X12" s="6"/>
      <c r="Y12" s="6"/>
      <c r="Z12" s="6"/>
      <c r="AA12" s="6"/>
      <c r="AB12" s="6"/>
      <c r="AC12" s="6"/>
      <c r="AD12" s="5"/>
      <c r="AE12" s="5"/>
    </row>
    <row r="13" spans="1:35" x14ac:dyDescent="0.2">
      <c r="J13" s="3" t="s">
        <v>17</v>
      </c>
      <c r="L13" s="5">
        <v>1</v>
      </c>
      <c r="M13" s="5">
        <v>-0.42509275481422498</v>
      </c>
      <c r="N13" s="5">
        <v>-0.57373575140839395</v>
      </c>
      <c r="O13" s="5">
        <v>0.923621455669554</v>
      </c>
      <c r="P13" s="5">
        <v>0.25494362071577098</v>
      </c>
      <c r="Q13" s="5">
        <v>-1.4064352533478099</v>
      </c>
      <c r="R13" s="5">
        <v>-1.19457795744933</v>
      </c>
      <c r="S13" s="5">
        <v>-0.165537067186659</v>
      </c>
      <c r="T13" s="5">
        <v>5.6963413940713699E-2</v>
      </c>
      <c r="U13" s="5"/>
      <c r="V13" s="5">
        <f t="shared" ref="V13:AC16" si="1">M$29*M13</f>
        <v>-0.24144219630624378</v>
      </c>
      <c r="W13" s="5">
        <f t="shared" si="1"/>
        <v>-0.53045839982608556</v>
      </c>
      <c r="X13" s="5">
        <f t="shared" si="1"/>
        <v>0.3325913127259118</v>
      </c>
      <c r="Y13" s="5">
        <f t="shared" si="1"/>
        <v>-0.14621988028521699</v>
      </c>
      <c r="Z13" s="5">
        <f t="shared" si="1"/>
        <v>-0.2927181236320528</v>
      </c>
      <c r="AA13" s="5">
        <f t="shared" si="1"/>
        <v>-0.81058979765019146</v>
      </c>
      <c r="AB13" s="5">
        <f t="shared" si="1"/>
        <v>-0.12286407454566042</v>
      </c>
      <c r="AC13" s="5">
        <f t="shared" si="1"/>
        <v>5.5824348744294011E-2</v>
      </c>
      <c r="AD13" s="5"/>
      <c r="AE13" s="5"/>
    </row>
    <row r="14" spans="1:35" x14ac:dyDescent="0.2">
      <c r="J14" s="3" t="s">
        <v>19</v>
      </c>
      <c r="L14" s="5">
        <v>2</v>
      </c>
      <c r="M14" s="5">
        <v>-0.47169021607476402</v>
      </c>
      <c r="N14" s="5">
        <v>-0.14915749453847299</v>
      </c>
      <c r="O14" s="5">
        <v>0.74946049005039095</v>
      </c>
      <c r="P14" s="5">
        <v>-1.7868979612032401</v>
      </c>
      <c r="Q14" s="5">
        <v>0.60096091418002495</v>
      </c>
      <c r="R14" s="5">
        <v>-1.11042296865977</v>
      </c>
      <c r="S14" s="5">
        <v>-0.37213498821998098</v>
      </c>
      <c r="T14" s="5">
        <v>-0.36441191527378902</v>
      </c>
      <c r="U14" s="5"/>
      <c r="V14" s="5">
        <f t="shared" si="1"/>
        <v>-0.26790840459049559</v>
      </c>
      <c r="W14" s="5">
        <f t="shared" si="1"/>
        <v>-0.13790642413466461</v>
      </c>
      <c r="X14" s="5">
        <f t="shared" si="1"/>
        <v>0.26987684910520787</v>
      </c>
      <c r="Y14" s="5">
        <f t="shared" si="1"/>
        <v>1.024854064735863</v>
      </c>
      <c r="Z14" s="5">
        <f t="shared" si="1"/>
        <v>0.12507660822369696</v>
      </c>
      <c r="AA14" s="5">
        <f t="shared" si="1"/>
        <v>-0.75348580128997311</v>
      </c>
      <c r="AB14" s="5">
        <f t="shared" si="1"/>
        <v>-0.2762041258236877</v>
      </c>
      <c r="AC14" s="5">
        <f t="shared" si="1"/>
        <v>-0.35712497614684291</v>
      </c>
      <c r="AD14" s="5"/>
      <c r="AE14" s="5"/>
    </row>
    <row r="15" spans="1:35" x14ac:dyDescent="0.2">
      <c r="J15" s="3" t="s">
        <v>20</v>
      </c>
      <c r="L15" s="5">
        <v>3</v>
      </c>
      <c r="M15" s="5">
        <v>5.3792986203093501E-2</v>
      </c>
      <c r="N15" s="5">
        <v>-0.17989397267198601</v>
      </c>
      <c r="O15" s="5">
        <v>0.39778121362053398</v>
      </c>
      <c r="P15" s="5">
        <v>-0.62872511136377995</v>
      </c>
      <c r="Q15" s="5">
        <v>-0.69756143003444504</v>
      </c>
      <c r="R15" s="5">
        <v>-0.32486382735004699</v>
      </c>
      <c r="S15" s="5">
        <v>-0.70601161726904105</v>
      </c>
      <c r="T15" s="5">
        <v>5.1761803288180003E-2</v>
      </c>
      <c r="U15" s="5"/>
      <c r="V15" s="5">
        <f t="shared" si="1"/>
        <v>3.0553088914494354E-2</v>
      </c>
      <c r="W15" s="5">
        <f t="shared" si="1"/>
        <v>-0.16632442487275537</v>
      </c>
      <c r="X15" s="5">
        <f t="shared" si="1"/>
        <v>0.14323895921176227</v>
      </c>
      <c r="Y15" s="5">
        <f t="shared" si="1"/>
        <v>0.36059780691046978</v>
      </c>
      <c r="Z15" s="5">
        <f t="shared" si="1"/>
        <v>-0.14518185066232731</v>
      </c>
      <c r="AA15" s="5">
        <f t="shared" si="1"/>
        <v>-0.2204387770872718</v>
      </c>
      <c r="AB15" s="5">
        <f t="shared" si="1"/>
        <v>-0.52401232816595766</v>
      </c>
      <c r="AC15" s="5">
        <f t="shared" si="1"/>
        <v>5.0726751760354571E-2</v>
      </c>
      <c r="AD15" s="5"/>
      <c r="AE15" s="5"/>
    </row>
    <row r="16" spans="1:35" x14ac:dyDescent="0.2">
      <c r="L16" s="5">
        <v>4</v>
      </c>
      <c r="M16" s="5">
        <v>0.159198627118532</v>
      </c>
      <c r="N16" s="5">
        <v>-0.383646985214741</v>
      </c>
      <c r="O16" s="5">
        <v>0.93173598236765298</v>
      </c>
      <c r="P16" s="5">
        <v>-8.1187900373174304E-2</v>
      </c>
      <c r="Q16" s="5">
        <v>0.58017483826976401</v>
      </c>
      <c r="R16" s="5">
        <v>-0.622042455038471</v>
      </c>
      <c r="S16" s="5">
        <v>1.4060989311415799</v>
      </c>
      <c r="T16" s="5">
        <v>-0.25933151111497499</v>
      </c>
      <c r="U16" s="5"/>
      <c r="V16" s="5">
        <f t="shared" si="1"/>
        <v>9.0420892252645074E-2</v>
      </c>
      <c r="W16" s="5">
        <f t="shared" si="1"/>
        <v>-0.3547081829492838</v>
      </c>
      <c r="X16" s="5">
        <f t="shared" si="1"/>
        <v>0.33551331185239786</v>
      </c>
      <c r="Y16" s="5">
        <f t="shared" si="1"/>
        <v>4.6564354267207224E-2</v>
      </c>
      <c r="Z16" s="5">
        <f t="shared" si="1"/>
        <v>0.12075045021276697</v>
      </c>
      <c r="AA16" s="5">
        <f t="shared" si="1"/>
        <v>-0.4220915551096211</v>
      </c>
      <c r="AB16" s="5">
        <f t="shared" si="1"/>
        <v>1.0436275501942416</v>
      </c>
      <c r="AC16" s="5">
        <f t="shared" si="1"/>
        <v>-0.2541458054451316</v>
      </c>
      <c r="AD16" s="5"/>
      <c r="AE16" s="5"/>
    </row>
    <row r="17" spans="11:36" x14ac:dyDescent="0.2"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</row>
    <row r="18" spans="11:36" x14ac:dyDescent="0.2">
      <c r="L18" s="5"/>
      <c r="M18" s="6" t="s">
        <v>48</v>
      </c>
      <c r="N18" s="6"/>
      <c r="O18" s="6"/>
      <c r="P18" s="6"/>
      <c r="Q18" s="6"/>
      <c r="R18" s="6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</row>
    <row r="19" spans="11:36" x14ac:dyDescent="0.2">
      <c r="L19" s="5"/>
      <c r="M19" s="5">
        <v>1</v>
      </c>
      <c r="N19" s="5">
        <v>2</v>
      </c>
      <c r="O19" s="5">
        <v>3</v>
      </c>
      <c r="P19" s="5">
        <v>4</v>
      </c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</row>
    <row r="20" spans="11:36" x14ac:dyDescent="0.2">
      <c r="L20" s="5"/>
      <c r="M20" s="5">
        <v>0.78710379440631595</v>
      </c>
      <c r="N20" s="5">
        <v>1.33570137435212</v>
      </c>
      <c r="O20" s="5">
        <v>-2.12970808790257</v>
      </c>
      <c r="P20" s="5">
        <v>-0.810177024214085</v>
      </c>
      <c r="Q20" s="5"/>
      <c r="R20" s="5"/>
      <c r="S20" s="5"/>
      <c r="T20" s="5"/>
      <c r="U20" s="5"/>
      <c r="V20" s="5"/>
      <c r="W20" s="5"/>
      <c r="X20" s="5" t="s">
        <v>5</v>
      </c>
      <c r="Y20" s="5" t="s">
        <v>10</v>
      </c>
      <c r="Z20" s="5" t="s">
        <v>6</v>
      </c>
      <c r="AA20" s="5"/>
      <c r="AC20" s="5"/>
      <c r="AD20" s="5"/>
      <c r="AE20" s="5"/>
      <c r="AF20" s="5"/>
      <c r="AG20" s="5"/>
      <c r="AH20" s="5"/>
      <c r="AI20" s="5"/>
    </row>
    <row r="21" spans="11:36" x14ac:dyDescent="0.2"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>
        <f>SUM(V13:AC13)+M23</f>
        <v>-1.3189760606427432</v>
      </c>
      <c r="Y21" s="5">
        <f>(-1+2/(1+EXP(-2*X21)))</f>
        <v>-0.86652906374279048</v>
      </c>
      <c r="Z21" s="5">
        <f>Y21*M20</f>
        <v>-0.68204831403530286</v>
      </c>
      <c r="AA21" s="5"/>
      <c r="AB21" s="3" t="s">
        <v>4</v>
      </c>
      <c r="AC21" s="5"/>
      <c r="AD21" s="5"/>
      <c r="AE21" s="5"/>
      <c r="AF21" s="5"/>
      <c r="AG21" s="5"/>
      <c r="AH21" s="5"/>
      <c r="AI21" s="5"/>
    </row>
    <row r="22" spans="11:36" x14ac:dyDescent="0.2">
      <c r="L22" s="5"/>
      <c r="M22" s="6" t="s">
        <v>3</v>
      </c>
      <c r="N22" s="6"/>
      <c r="O22" s="6"/>
      <c r="P22" s="6"/>
      <c r="Q22" s="6"/>
      <c r="R22" s="6"/>
      <c r="S22" s="5"/>
      <c r="T22" s="5"/>
      <c r="U22" s="5"/>
      <c r="V22" s="5"/>
      <c r="W22" s="5"/>
      <c r="X22" s="5">
        <f>SUM(V14:AC14)+N23</f>
        <v>-0.47810679292562897</v>
      </c>
      <c r="Y22" s="5">
        <f>(-1+2/(1+EXP(-2*X22)))</f>
        <v>-0.44472612365215258</v>
      </c>
      <c r="Z22" s="5">
        <f>Y22*N20</f>
        <v>-0.5940212945724711</v>
      </c>
      <c r="AA22" s="5"/>
      <c r="AB22" s="3">
        <f>SUM(Z21:Z26)+M24</f>
        <v>-0.47549529222056031</v>
      </c>
      <c r="AC22" s="5"/>
      <c r="AD22" s="5"/>
      <c r="AE22" s="5"/>
      <c r="AF22" s="5"/>
      <c r="AG22" s="5"/>
      <c r="AH22" s="5"/>
      <c r="AI22" s="5"/>
    </row>
    <row r="23" spans="11:36" x14ac:dyDescent="0.2">
      <c r="L23" s="5"/>
      <c r="M23" s="5">
        <v>0.43690075013250201</v>
      </c>
      <c r="N23" s="5">
        <v>-0.10528458300473301</v>
      </c>
      <c r="O23" s="5">
        <v>-0.16187354322938899</v>
      </c>
      <c r="P23" s="5">
        <v>-0.18471079789559999</v>
      </c>
      <c r="Q23" s="5"/>
      <c r="R23" s="5"/>
      <c r="S23" s="5"/>
      <c r="T23" s="5"/>
      <c r="U23" s="5"/>
      <c r="V23" s="5"/>
      <c r="W23" s="5"/>
      <c r="X23" s="5">
        <f>SUM(V15:AC15)+O23</f>
        <v>-0.6327143172206201</v>
      </c>
      <c r="Y23" s="5">
        <f t="shared" ref="Y23:Y24" si="2">(-1+2/(1+EXP(-2*X23)))</f>
        <v>-0.55991840258163772</v>
      </c>
      <c r="Z23" s="5">
        <f>Y23*O20</f>
        <v>1.1924627505436012</v>
      </c>
      <c r="AA23" s="5"/>
      <c r="AB23" s="3" t="s">
        <v>9</v>
      </c>
      <c r="AC23" s="5"/>
      <c r="AD23" s="5"/>
      <c r="AE23" s="5"/>
      <c r="AF23" s="5"/>
      <c r="AG23" s="5"/>
      <c r="AH23" s="5"/>
      <c r="AI23" s="5"/>
    </row>
    <row r="24" spans="11:36" x14ac:dyDescent="0.2">
      <c r="L24" s="5"/>
      <c r="M24" s="5">
        <v>-6.9472085851402104E-2</v>
      </c>
      <c r="N24" s="5"/>
      <c r="O24" s="5"/>
      <c r="P24" s="5"/>
      <c r="Q24" s="5"/>
      <c r="R24" s="5"/>
      <c r="S24" s="5"/>
      <c r="T24" s="5"/>
      <c r="U24" s="5"/>
      <c r="V24" s="5"/>
      <c r="W24" s="5"/>
      <c r="X24" s="5">
        <f>SUM(V16:AC16)+P23</f>
        <v>0.42122021737962223</v>
      </c>
      <c r="Y24" s="5">
        <f t="shared" si="2"/>
        <v>0.39795790138302967</v>
      </c>
      <c r="Z24" s="5">
        <f>Y24*P20</f>
        <v>-0.32241634830498528</v>
      </c>
      <c r="AA24" s="5"/>
      <c r="AC24" s="5"/>
      <c r="AD24" s="5"/>
      <c r="AE24" s="5"/>
      <c r="AF24" s="5"/>
      <c r="AG24" s="5"/>
      <c r="AH24" s="5"/>
      <c r="AI24" s="5"/>
    </row>
    <row r="25" spans="11:36" x14ac:dyDescent="0.2"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</row>
    <row r="26" spans="11:36" x14ac:dyDescent="0.2"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</row>
    <row r="27" spans="11:36" x14ac:dyDescent="0.2"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</row>
    <row r="28" spans="11:36" x14ac:dyDescent="0.2">
      <c r="K28" s="5"/>
      <c r="M28" s="3">
        <v>1</v>
      </c>
      <c r="N28" s="3">
        <v>2</v>
      </c>
      <c r="O28" s="3">
        <v>3</v>
      </c>
      <c r="P28" s="3">
        <v>4</v>
      </c>
      <c r="Q28" s="3">
        <v>5</v>
      </c>
      <c r="R28" s="3">
        <v>6</v>
      </c>
      <c r="S28" s="3">
        <v>7</v>
      </c>
      <c r="T28" s="3">
        <v>8</v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</row>
    <row r="29" spans="11:36" x14ac:dyDescent="0.2">
      <c r="K29" s="5"/>
      <c r="M29" s="3">
        <f t="shared" ref="M29:T29" si="3">(B8-M32)*M33-1</f>
        <v>0.5679753267301848</v>
      </c>
      <c r="N29" s="3">
        <f t="shared" si="3"/>
        <v>0.92456919152053518</v>
      </c>
      <c r="O29" s="3">
        <f t="shared" si="3"/>
        <v>0.36009483179968882</v>
      </c>
      <c r="P29" s="3">
        <f t="shared" si="3"/>
        <v>-0.57353810177597331</v>
      </c>
      <c r="Q29" s="3">
        <f t="shared" si="3"/>
        <v>0.20812769228820227</v>
      </c>
      <c r="R29" s="3">
        <f t="shared" si="3"/>
        <v>0.67855747094226282</v>
      </c>
      <c r="S29" s="3">
        <f t="shared" si="3"/>
        <v>0.74221488053258389</v>
      </c>
      <c r="T29" s="3">
        <f t="shared" si="3"/>
        <v>0.98000356513734932</v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</row>
    <row r="30" spans="11:36" x14ac:dyDescent="0.2">
      <c r="K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</row>
    <row r="31" spans="11:36" x14ac:dyDescent="0.2">
      <c r="K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</row>
    <row r="32" spans="11:36" x14ac:dyDescent="0.2">
      <c r="K32" s="3" t="s">
        <v>13</v>
      </c>
      <c r="L32" s="3" t="s">
        <v>12</v>
      </c>
      <c r="M32" s="3">
        <v>124.850998</v>
      </c>
      <c r="N32" s="3">
        <v>76.095489999999998</v>
      </c>
      <c r="O32" s="3">
        <v>83.920897999999994</v>
      </c>
      <c r="P32" s="3">
        <v>4.2066350000000003</v>
      </c>
      <c r="Q32" s="3">
        <v>18174.890625</v>
      </c>
      <c r="R32" s="3">
        <v>121.003235</v>
      </c>
      <c r="S32" s="3">
        <v>99.406799000000007</v>
      </c>
      <c r="T32" s="3">
        <v>72.382164000000003</v>
      </c>
      <c r="U32" s="5"/>
    </row>
    <row r="33" spans="1:36" x14ac:dyDescent="0.2">
      <c r="D33" s="5"/>
      <c r="M33" s="3">
        <v>1.9001948317265802E-2</v>
      </c>
      <c r="N33" s="3">
        <v>0.21750918486910401</v>
      </c>
      <c r="O33" s="3">
        <v>0.35404816010907503</v>
      </c>
      <c r="P33" s="3">
        <v>0.366414317126462</v>
      </c>
      <c r="Q33" s="3">
        <v>2.83399252242656E-4</v>
      </c>
      <c r="R33" s="3">
        <v>2.3059707497526099E-2</v>
      </c>
      <c r="S33" s="3">
        <v>4.1245447533729198</v>
      </c>
      <c r="T33" s="3">
        <v>0.15809921737725399</v>
      </c>
      <c r="U33" s="5"/>
    </row>
    <row r="34" spans="1:36" x14ac:dyDescent="0.2">
      <c r="D34" s="6"/>
      <c r="U34" s="5"/>
    </row>
    <row r="35" spans="1:36" x14ac:dyDescent="0.2">
      <c r="D35" s="4"/>
      <c r="F35" s="4"/>
      <c r="U35" s="5"/>
    </row>
    <row r="36" spans="1:36" x14ac:dyDescent="0.2">
      <c r="L36" s="3" t="s">
        <v>11</v>
      </c>
      <c r="M36" s="3">
        <v>12.755000000000001</v>
      </c>
      <c r="U36" s="5"/>
    </row>
    <row r="37" spans="1:36" x14ac:dyDescent="0.2">
      <c r="L37" s="3" t="s">
        <v>14</v>
      </c>
      <c r="M37" s="3">
        <v>0.53269999999999995</v>
      </c>
      <c r="U37" s="5"/>
    </row>
    <row r="38" spans="1:36" x14ac:dyDescent="0.2">
      <c r="U38" s="5"/>
    </row>
    <row r="39" spans="1:36" x14ac:dyDescent="0.2">
      <c r="T39" s="5"/>
    </row>
    <row r="40" spans="1:36" s="9" customFormat="1" x14ac:dyDescent="0.2"/>
    <row r="41" spans="1:36" x14ac:dyDescent="0.2">
      <c r="T41" s="5"/>
    </row>
    <row r="42" spans="1:36" x14ac:dyDescent="0.2">
      <c r="D42" s="4"/>
      <c r="E42" s="4"/>
      <c r="F42" s="4"/>
      <c r="G42" s="4"/>
      <c r="H42" s="4"/>
      <c r="I42" s="4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</row>
    <row r="43" spans="1:36" x14ac:dyDescent="0.2">
      <c r="A43" s="3" t="s">
        <v>1</v>
      </c>
      <c r="B43" s="3" t="str">
        <f>B7</f>
        <v>Combined Feed to OX-1201</v>
      </c>
      <c r="C43" s="3" t="str">
        <f t="shared" ref="C43:I43" si="4">C7</f>
        <v>Level OX-1201</v>
      </c>
      <c r="D43" s="3" t="str">
        <f t="shared" si="4"/>
        <v>Temp OX-1201</v>
      </c>
      <c r="E43" s="3" t="str">
        <f t="shared" si="4"/>
        <v>O2 Excess OX-1201</v>
      </c>
      <c r="F43" s="3" t="str">
        <f t="shared" si="4"/>
        <v>Air Feed OX-1201</v>
      </c>
      <c r="G43" s="3" t="str">
        <f t="shared" si="4"/>
        <v>Feed to PFC</v>
      </c>
      <c r="H43" s="3" t="str">
        <f t="shared" si="4"/>
        <v>Cumene in combined feed</v>
      </c>
      <c r="I43" s="3" t="str">
        <f t="shared" si="4"/>
        <v>Level OX-1201 Last Hour</v>
      </c>
      <c r="J43" s="3" t="s">
        <v>47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</row>
    <row r="44" spans="1:36" x14ac:dyDescent="0.2">
      <c r="B44" s="3">
        <f>B8</f>
        <v>207.3675537</v>
      </c>
      <c r="C44" s="3">
        <f t="shared" ref="C44:I44" si="5">C8</f>
        <v>84.943710330000002</v>
      </c>
      <c r="D44" s="3">
        <f t="shared" si="5"/>
        <v>87.762451170000006</v>
      </c>
      <c r="E44" s="3">
        <f t="shared" si="5"/>
        <v>5.3705139160000002</v>
      </c>
      <c r="F44" s="3">
        <f t="shared" si="5"/>
        <v>22437.878909999999</v>
      </c>
      <c r="G44" s="3">
        <f t="shared" si="5"/>
        <v>193.79502869999999</v>
      </c>
      <c r="H44" s="3">
        <f t="shared" si="5"/>
        <v>99.829200740000005</v>
      </c>
      <c r="I44" s="3">
        <f t="shared" si="5"/>
        <v>84.905967709999999</v>
      </c>
      <c r="J44" s="5">
        <f>B11</f>
        <v>13.739615558061649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</row>
    <row r="45" spans="1:36" x14ac:dyDescent="0.2"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</row>
    <row r="46" spans="1:36" x14ac:dyDescent="0.2">
      <c r="K46" s="5"/>
      <c r="L46" s="5"/>
      <c r="M46" s="6" t="s">
        <v>2</v>
      </c>
      <c r="N46" s="6"/>
      <c r="O46" s="6"/>
      <c r="P46" s="6"/>
      <c r="Q46" s="6"/>
      <c r="R46" s="6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</row>
    <row r="47" spans="1:36" x14ac:dyDescent="0.2">
      <c r="A47" s="3" t="s">
        <v>15</v>
      </c>
      <c r="B47" s="7">
        <f>M79+(AK50+1)/M80</f>
        <v>0.44793317045898962</v>
      </c>
      <c r="J47" s="3" t="s">
        <v>16</v>
      </c>
      <c r="K47" s="5"/>
      <c r="L47" s="5"/>
      <c r="M47" s="6" t="s">
        <v>1</v>
      </c>
      <c r="N47" s="6"/>
      <c r="O47" s="6"/>
      <c r="P47" s="6"/>
      <c r="Q47" s="6"/>
      <c r="R47" s="6"/>
      <c r="S47" s="5"/>
      <c r="T47" s="5"/>
      <c r="U47" s="5"/>
      <c r="V47" s="5"/>
      <c r="W47" s="6" t="s">
        <v>8</v>
      </c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</row>
    <row r="48" spans="1:36" x14ac:dyDescent="0.2">
      <c r="A48" s="3" t="s">
        <v>46</v>
      </c>
      <c r="B48" s="3">
        <f>N2</f>
        <v>0.44900000099999998</v>
      </c>
      <c r="J48" s="3" t="s">
        <v>18</v>
      </c>
      <c r="L48" s="8" t="s">
        <v>0</v>
      </c>
      <c r="M48" s="5">
        <v>1</v>
      </c>
      <c r="N48" s="5">
        <v>2</v>
      </c>
      <c r="O48" s="5">
        <v>3</v>
      </c>
      <c r="P48" s="5">
        <v>4</v>
      </c>
      <c r="Q48" s="5">
        <v>5</v>
      </c>
      <c r="R48" s="5">
        <v>6</v>
      </c>
      <c r="S48" s="5">
        <v>7</v>
      </c>
      <c r="T48" s="5">
        <v>8</v>
      </c>
      <c r="U48" s="5">
        <v>9</v>
      </c>
      <c r="V48" s="5"/>
      <c r="W48" s="5">
        <v>1</v>
      </c>
      <c r="X48" s="5">
        <v>2</v>
      </c>
      <c r="Y48" s="5">
        <v>3</v>
      </c>
      <c r="Z48" s="5">
        <v>4</v>
      </c>
      <c r="AA48" s="5">
        <v>5</v>
      </c>
      <c r="AB48" s="5">
        <v>6</v>
      </c>
      <c r="AC48" s="5">
        <v>7</v>
      </c>
      <c r="AD48" s="5">
        <v>8</v>
      </c>
      <c r="AE48" s="5">
        <v>9</v>
      </c>
      <c r="AF48" s="5"/>
      <c r="AG48" s="5" t="s">
        <v>5</v>
      </c>
      <c r="AH48" s="5" t="s">
        <v>10</v>
      </c>
      <c r="AI48" s="5" t="s">
        <v>6</v>
      </c>
      <c r="AJ48" s="5"/>
    </row>
    <row r="49" spans="10:43" x14ac:dyDescent="0.2">
      <c r="J49" s="3" t="s">
        <v>17</v>
      </c>
      <c r="L49" s="5">
        <v>1</v>
      </c>
      <c r="M49" s="3">
        <v>-0.47909358063797702</v>
      </c>
      <c r="N49" s="3">
        <v>-0.48613148776258402</v>
      </c>
      <c r="O49" s="3">
        <v>7.0414665700072501E-2</v>
      </c>
      <c r="P49" s="3">
        <v>0.72385716245993903</v>
      </c>
      <c r="Q49" s="3">
        <v>0.57097878941351699</v>
      </c>
      <c r="R49" s="3">
        <v>-0.58629478319054695</v>
      </c>
      <c r="S49" s="3">
        <v>-0.44391312193326798</v>
      </c>
      <c r="T49" s="3">
        <v>-0.83938852387478502</v>
      </c>
      <c r="U49" s="3">
        <v>-1.4999624974175101</v>
      </c>
      <c r="W49" s="5">
        <f>M$72*M49</f>
        <v>-0.27211333299718915</v>
      </c>
      <c r="X49" s="5">
        <f t="shared" ref="X49:AE49" si="6">N$72*N49</f>
        <v>-0.44946219661332726</v>
      </c>
      <c r="Y49" s="5">
        <f t="shared" si="6"/>
        <v>2.5355957201498924E-2</v>
      </c>
      <c r="Z49" s="5">
        <f t="shared" si="6"/>
        <v>-0.41515966291421574</v>
      </c>
      <c r="AA49" s="5">
        <f t="shared" si="6"/>
        <v>0.1188364977861467</v>
      </c>
      <c r="AB49" s="5">
        <f t="shared" si="6"/>
        <v>-0.39783470530841986</v>
      </c>
      <c r="AC49" s="5">
        <f t="shared" si="6"/>
        <v>-0.32947892476254687</v>
      </c>
      <c r="AD49" s="5">
        <f t="shared" si="6"/>
        <v>-0.82260374593266639</v>
      </c>
      <c r="AE49" s="5">
        <f t="shared" si="6"/>
        <v>0.71322510602941991</v>
      </c>
      <c r="AF49" s="5"/>
      <c r="AG49" s="5">
        <f>SUM(W49:AE49)+U61</f>
        <v>-1.3108571803156459</v>
      </c>
      <c r="AH49" s="5">
        <f t="shared" ref="AH49:AH55" si="7">(-1+2/(1+EXP(-2*AG49)))</f>
        <v>-0.86449214286081522</v>
      </c>
      <c r="AI49" s="5">
        <f>AH49*M63</f>
        <v>-1.2818568591379125</v>
      </c>
      <c r="AJ49" s="5"/>
      <c r="AK49" s="3" t="s">
        <v>4</v>
      </c>
    </row>
    <row r="50" spans="10:43" x14ac:dyDescent="0.2">
      <c r="J50" s="3" t="s">
        <v>19</v>
      </c>
      <c r="L50" s="5">
        <v>2</v>
      </c>
      <c r="M50" s="3">
        <v>-0.47804561896002701</v>
      </c>
      <c r="N50" s="3">
        <v>-0.350441421387513</v>
      </c>
      <c r="O50" s="3">
        <v>2.42673959429415E-2</v>
      </c>
      <c r="P50" s="3">
        <v>-1.03752483294084</v>
      </c>
      <c r="Q50" s="3">
        <v>-0.761408533150568</v>
      </c>
      <c r="R50" s="3">
        <v>0.73200079447820798</v>
      </c>
      <c r="S50" s="3">
        <v>-1.6660343301579501</v>
      </c>
      <c r="T50" s="3">
        <v>-0.396841498814968</v>
      </c>
      <c r="U50" s="3">
        <v>0.31103896262657799</v>
      </c>
      <c r="W50" s="5">
        <f t="shared" ref="W50:W55" si="8">M$72*M50</f>
        <v>-0.27151811662075476</v>
      </c>
      <c r="X50" s="5">
        <f t="shared" ref="X50:X55" si="9">N$72*N50</f>
        <v>-0.32400734164756007</v>
      </c>
      <c r="Y50" s="5">
        <f t="shared" ref="Y50:Y55" si="10">O$72*O50</f>
        <v>8.7385638602899707E-3</v>
      </c>
      <c r="Z50" s="5">
        <f t="shared" ref="Z50:Z55" si="11">P$72*P50</f>
        <v>0.59506002323032314</v>
      </c>
      <c r="AA50" s="5">
        <f t="shared" ref="AA50:AA55" si="12">Q$72*Q50</f>
        <v>-0.15847020089317287</v>
      </c>
      <c r="AB50" s="5">
        <f t="shared" ref="AB50:AB55" si="13">R$72*R50</f>
        <v>0.49670460782885989</v>
      </c>
      <c r="AC50" s="5">
        <f t="shared" ref="AC50:AC55" si="14">S$72*S50</f>
        <v>-1.2365554713213665</v>
      </c>
      <c r="AD50" s="5">
        <f t="shared" ref="AD50:AD55" si="15">T$72*T50</f>
        <v>-0.38890608363311785</v>
      </c>
      <c r="AE50" s="5">
        <f t="shared" ref="AE50:AE55" si="16">U$72*U50</f>
        <v>-0.14789756242610452</v>
      </c>
      <c r="AF50" s="5"/>
      <c r="AG50" s="5">
        <f t="shared" ref="AG50:AG55" si="17">SUM(W50:AE50)+U62</f>
        <v>-1.6753111755454788</v>
      </c>
      <c r="AH50" s="5">
        <f t="shared" si="7"/>
        <v>-0.9322504192289075</v>
      </c>
      <c r="AI50" s="5">
        <f>AH50*N63</f>
        <v>-1.2636707104770517</v>
      </c>
      <c r="AJ50" s="5"/>
      <c r="AK50" s="3">
        <f>SUM(AI49:AI64)+V61</f>
        <v>-0.26330790451167896</v>
      </c>
    </row>
    <row r="51" spans="10:43" x14ac:dyDescent="0.2">
      <c r="J51" s="3" t="s">
        <v>20</v>
      </c>
      <c r="L51" s="5">
        <v>3</v>
      </c>
      <c r="M51" s="3">
        <v>0.214804295640867</v>
      </c>
      <c r="N51" s="3">
        <v>-0.21975263019348401</v>
      </c>
      <c r="O51" s="3">
        <v>0.63889106520823802</v>
      </c>
      <c r="P51" s="3">
        <v>-0.91645474388890003</v>
      </c>
      <c r="Q51" s="3">
        <v>0.70558549741565901</v>
      </c>
      <c r="R51" s="3">
        <v>0.33898204791561398</v>
      </c>
      <c r="S51" s="3">
        <v>0.36728821698603897</v>
      </c>
      <c r="T51" s="3">
        <v>0.54735641322631901</v>
      </c>
      <c r="U51" s="3">
        <v>0.37236799587957897</v>
      </c>
      <c r="W51" s="5">
        <f t="shared" si="8"/>
        <v>0.12200353999966865</v>
      </c>
      <c r="X51" s="5">
        <f t="shared" si="9"/>
        <v>-0.20317651163250067</v>
      </c>
      <c r="Y51" s="5">
        <f t="shared" si="10"/>
        <v>0.23006137066448448</v>
      </c>
      <c r="Z51" s="5">
        <f t="shared" si="11"/>
        <v>0.52562171417362546</v>
      </c>
      <c r="AA51" s="5">
        <f t="shared" si="12"/>
        <v>0.14685188128914442</v>
      </c>
      <c r="AB51" s="5">
        <f t="shared" si="13"/>
        <v>0.23001880112844797</v>
      </c>
      <c r="AC51" s="5">
        <f t="shared" si="14"/>
        <v>0.27260678009131867</v>
      </c>
      <c r="AD51" s="5">
        <f t="shared" si="15"/>
        <v>0.53641123636258481</v>
      </c>
      <c r="AE51" s="5">
        <f t="shared" si="16"/>
        <v>-0.17705922901434468</v>
      </c>
      <c r="AF51" s="5"/>
      <c r="AG51" s="5">
        <f t="shared" si="17"/>
        <v>1.6131206492076484</v>
      </c>
      <c r="AH51" s="5">
        <f t="shared" si="7"/>
        <v>0.92361985848736161</v>
      </c>
      <c r="AI51" s="5">
        <f>AH51*O63</f>
        <v>1.098194177573282</v>
      </c>
      <c r="AJ51" s="5"/>
      <c r="AK51" s="3" t="s">
        <v>9</v>
      </c>
    </row>
    <row r="52" spans="10:43" x14ac:dyDescent="0.2">
      <c r="L52" s="5">
        <v>4</v>
      </c>
      <c r="M52" s="3">
        <v>-0.81417450526697499</v>
      </c>
      <c r="N52" s="3">
        <v>5.5975967951367597E-2</v>
      </c>
      <c r="O52" s="3">
        <v>0.725830932657754</v>
      </c>
      <c r="P52" s="3">
        <v>-5.6946285498960698E-2</v>
      </c>
      <c r="Q52" s="3">
        <v>0.56596137899097398</v>
      </c>
      <c r="R52" s="3">
        <v>-0.338730713355408</v>
      </c>
      <c r="S52" s="3">
        <v>-0.28057545344599</v>
      </c>
      <c r="T52" s="3">
        <v>-0.34103942770218498</v>
      </c>
      <c r="U52" s="3">
        <v>0.33447106166062901</v>
      </c>
      <c r="W52" s="5">
        <f t="shared" si="8"/>
        <v>-0.46243103064439667</v>
      </c>
      <c r="X52" s="5">
        <f t="shared" si="9"/>
        <v>5.1753655433375324E-2</v>
      </c>
      <c r="Y52" s="5">
        <f t="shared" si="10"/>
        <v>0.26136796761040521</v>
      </c>
      <c r="Z52" s="5">
        <f t="shared" si="11"/>
        <v>3.2660864488266557E-2</v>
      </c>
      <c r="AA52" s="5">
        <f t="shared" si="12"/>
        <v>0.11779223573364006</v>
      </c>
      <c r="AB52" s="5">
        <f t="shared" si="13"/>
        <v>-0.22984825618491422</v>
      </c>
      <c r="AC52" s="5">
        <f t="shared" si="14"/>
        <v>-0.20824727665979101</v>
      </c>
      <c r="AD52" s="5">
        <f t="shared" si="15"/>
        <v>-0.33421985500054258</v>
      </c>
      <c r="AE52" s="5">
        <f t="shared" si="16"/>
        <v>-0.15903941520364173</v>
      </c>
      <c r="AF52" s="5"/>
      <c r="AG52" s="5">
        <f t="shared" si="17"/>
        <v>-1.6054081527543502</v>
      </c>
      <c r="AH52" s="5">
        <f t="shared" si="7"/>
        <v>-0.92247858232504509</v>
      </c>
      <c r="AI52" s="5">
        <f>AH52*P63</f>
        <v>-0.8193940103627243</v>
      </c>
      <c r="AJ52" s="5"/>
    </row>
    <row r="53" spans="10:43" x14ac:dyDescent="0.2">
      <c r="L53" s="5"/>
      <c r="M53" s="3">
        <v>0.68069012712231702</v>
      </c>
      <c r="N53" s="3">
        <v>-1.1430416681147699</v>
      </c>
      <c r="O53" s="3">
        <v>3.9178281092625403E-2</v>
      </c>
      <c r="P53" s="3">
        <v>4.8128666021761003E-2</v>
      </c>
      <c r="Q53" s="3">
        <v>-0.150922013948563</v>
      </c>
      <c r="R53" s="3">
        <v>2.8233622929066901E-3</v>
      </c>
      <c r="S53" s="3">
        <v>-0.77565265222411595</v>
      </c>
      <c r="T53" s="3">
        <v>-0.19287625198813699</v>
      </c>
      <c r="U53" s="3">
        <v>9.9608406340700895E-2</v>
      </c>
      <c r="W53" s="5">
        <f t="shared" si="8"/>
        <v>0.38661519735430905</v>
      </c>
      <c r="X53" s="5">
        <f t="shared" si="9"/>
        <v>-1.0568211109631567</v>
      </c>
      <c r="Y53" s="5">
        <f t="shared" si="10"/>
        <v>1.4107896540249873E-2</v>
      </c>
      <c r="Z53" s="5">
        <f t="shared" si="11"/>
        <v>-2.7603623751130589E-2</v>
      </c>
      <c r="AA53" s="5">
        <f t="shared" si="12"/>
        <v>-3.1411050478602293E-2</v>
      </c>
      <c r="AB53" s="5">
        <f t="shared" si="13"/>
        <v>1.9158135770285119E-3</v>
      </c>
      <c r="AC53" s="5">
        <f t="shared" si="14"/>
        <v>-0.57570094060530408</v>
      </c>
      <c r="AD53" s="5">
        <f t="shared" si="15"/>
        <v>-0.189019414578704</v>
      </c>
      <c r="AE53" s="5">
        <f t="shared" si="16"/>
        <v>-4.7363328280595848E-2</v>
      </c>
      <c r="AF53" s="5"/>
      <c r="AG53" s="5">
        <f t="shared" si="17"/>
        <v>-1.4853782385336813</v>
      </c>
      <c r="AH53" s="5">
        <f t="shared" si="7"/>
        <v>-0.90247075881065297</v>
      </c>
      <c r="AI53" s="5">
        <f>AH53*Q63</f>
        <v>1.0740136400134026</v>
      </c>
      <c r="AJ53" s="5"/>
    </row>
    <row r="54" spans="10:43" x14ac:dyDescent="0.2">
      <c r="L54" s="5"/>
      <c r="M54" s="3">
        <v>1.5054679359649299</v>
      </c>
      <c r="N54" s="3">
        <v>-0.47574662589265798</v>
      </c>
      <c r="O54" s="3">
        <v>-1.09347156295787</v>
      </c>
      <c r="P54" s="3">
        <v>1.2763506637386901</v>
      </c>
      <c r="Q54" s="3">
        <v>0.61310522613955698</v>
      </c>
      <c r="R54" s="3">
        <v>0.14747401161033399</v>
      </c>
      <c r="S54" s="3">
        <v>1.1071309524952899</v>
      </c>
      <c r="T54" s="3">
        <v>0.71721059148548505</v>
      </c>
      <c r="U54" s="3">
        <v>0.46293196302648498</v>
      </c>
      <c r="W54" s="5">
        <f t="shared" si="8"/>
        <v>0.85506864281149797</v>
      </c>
      <c r="X54" s="5">
        <f t="shared" si="9"/>
        <v>-0.43986067327019729</v>
      </c>
      <c r="Y54" s="5">
        <f t="shared" si="10"/>
        <v>-0.39375345854105703</v>
      </c>
      <c r="Z54" s="5">
        <f t="shared" si="11"/>
        <v>-0.73203573688119195</v>
      </c>
      <c r="AA54" s="5">
        <f t="shared" si="12"/>
        <v>0.12760417584626238</v>
      </c>
      <c r="AB54" s="5">
        <f t="shared" si="13"/>
        <v>0.10006959234801814</v>
      </c>
      <c r="AC54" s="5">
        <f t="shared" si="14"/>
        <v>0.82172906764021747</v>
      </c>
      <c r="AD54" s="5">
        <f t="shared" si="15"/>
        <v>0.70286893661004235</v>
      </c>
      <c r="AE54" s="5">
        <f t="shared" si="16"/>
        <v>-0.22012196903751594</v>
      </c>
      <c r="AF54" s="5"/>
      <c r="AG54" s="5">
        <f t="shared" si="17"/>
        <v>1.4088950827445093</v>
      </c>
      <c r="AH54" s="5">
        <f t="shared" si="7"/>
        <v>0.88725926885958417</v>
      </c>
      <c r="AI54" s="5">
        <f>AH54*R63</f>
        <v>1.6152228849184898</v>
      </c>
      <c r="AJ54" s="5"/>
    </row>
    <row r="55" spans="10:43" x14ac:dyDescent="0.2">
      <c r="L55" s="5"/>
      <c r="M55" s="3">
        <v>-0.33527990799104501</v>
      </c>
      <c r="N55" s="3">
        <v>0.178962483170853</v>
      </c>
      <c r="O55" s="3">
        <v>0.13541061378197899</v>
      </c>
      <c r="P55" s="3">
        <v>-1.12566982370563</v>
      </c>
      <c r="Q55" s="3">
        <v>-0.95761644293008497</v>
      </c>
      <c r="R55" s="3">
        <v>-0.65626751266041405</v>
      </c>
      <c r="S55" s="3">
        <v>-0.47879450380329103</v>
      </c>
      <c r="T55" s="3">
        <v>0.211726486076114</v>
      </c>
      <c r="U55" s="3">
        <v>6.1702038337265397E-2</v>
      </c>
      <c r="W55" s="5">
        <f t="shared" si="8"/>
        <v>-0.19043071528728009</v>
      </c>
      <c r="X55" s="5">
        <f t="shared" si="9"/>
        <v>0.16546319837778295</v>
      </c>
      <c r="Y55" s="5">
        <f t="shared" si="10"/>
        <v>4.8760662193714353E-2</v>
      </c>
      <c r="Z55" s="5">
        <f t="shared" si="11"/>
        <v>0.64561453391462154</v>
      </c>
      <c r="AA55" s="5">
        <f t="shared" si="12"/>
        <v>-0.19930650036427552</v>
      </c>
      <c r="AB55" s="5">
        <f t="shared" si="13"/>
        <v>-0.44531522365241999</v>
      </c>
      <c r="AC55" s="5">
        <f t="shared" si="14"/>
        <v>-0.35536840544001741</v>
      </c>
      <c r="AD55" s="5">
        <f t="shared" si="15"/>
        <v>0.20749271118859505</v>
      </c>
      <c r="AE55" s="5">
        <f t="shared" si="16"/>
        <v>-2.9339028749782205E-2</v>
      </c>
      <c r="AF55" s="5"/>
      <c r="AG55" s="5">
        <f t="shared" si="17"/>
        <v>-0.91646649112431744</v>
      </c>
      <c r="AH55" s="5">
        <f t="shared" si="7"/>
        <v>-0.7242215157582057</v>
      </c>
      <c r="AI55" s="5">
        <f>AH55*S63</f>
        <v>-1.0952787364174361</v>
      </c>
      <c r="AJ55" s="5"/>
      <c r="AL55" s="5"/>
      <c r="AM55" s="5"/>
    </row>
    <row r="56" spans="10:43" x14ac:dyDescent="0.2"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L56" s="5"/>
      <c r="AM56" s="5"/>
      <c r="AN56" s="5"/>
      <c r="AO56" s="5"/>
      <c r="AP56" s="5"/>
      <c r="AQ56" s="5"/>
    </row>
    <row r="57" spans="10:43" x14ac:dyDescent="0.2"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L57" s="5"/>
      <c r="AM57" s="5"/>
      <c r="AN57" s="5"/>
      <c r="AO57" s="5"/>
      <c r="AP57" s="5"/>
      <c r="AQ57" s="5"/>
    </row>
    <row r="58" spans="10:43" x14ac:dyDescent="0.2"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</row>
    <row r="59" spans="10:43" x14ac:dyDescent="0.2"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</row>
    <row r="60" spans="10:43" x14ac:dyDescent="0.2"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</row>
    <row r="61" spans="10:43" x14ac:dyDescent="0.2">
      <c r="L61" s="5"/>
      <c r="M61" s="6" t="s">
        <v>7</v>
      </c>
      <c r="N61" s="6"/>
      <c r="O61" s="6"/>
      <c r="P61" s="6"/>
      <c r="Q61" s="6"/>
      <c r="R61" s="6"/>
      <c r="S61" s="5"/>
      <c r="T61" s="6" t="s">
        <v>3</v>
      </c>
      <c r="U61">
        <v>0.51837782719565395</v>
      </c>
      <c r="V61" s="3">
        <v>0.40946170937827098</v>
      </c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</row>
    <row r="62" spans="10:43" x14ac:dyDescent="0.2">
      <c r="L62" s="5"/>
      <c r="M62" s="5">
        <v>1</v>
      </c>
      <c r="N62" s="5">
        <v>2</v>
      </c>
      <c r="O62" s="5">
        <v>3</v>
      </c>
      <c r="P62" s="5">
        <v>4</v>
      </c>
      <c r="Q62" s="5"/>
      <c r="R62" s="5"/>
      <c r="S62" s="5"/>
      <c r="T62" s="5"/>
      <c r="U62">
        <v>-0.24845959392287501</v>
      </c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</row>
    <row r="63" spans="10:43" x14ac:dyDescent="0.2">
      <c r="L63" s="5"/>
      <c r="M63" s="3">
        <v>1.4827860145679701</v>
      </c>
      <c r="N63" s="3">
        <v>1.35550564999721</v>
      </c>
      <c r="O63" s="3">
        <v>1.1890110065106501</v>
      </c>
      <c r="P63" s="3">
        <v>0.88825261210671902</v>
      </c>
      <c r="Q63" s="3">
        <v>-1.19008137330546</v>
      </c>
      <c r="R63" s="3">
        <v>1.82046324181496</v>
      </c>
      <c r="S63" s="3">
        <v>1.5123532131888699</v>
      </c>
      <c r="T63" s="5"/>
      <c r="U63">
        <v>-7.0218933854780702E-2</v>
      </c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</row>
    <row r="64" spans="10:43" x14ac:dyDescent="0.2">
      <c r="L64" s="5"/>
      <c r="M64" s="5"/>
      <c r="N64" s="5"/>
      <c r="O64" s="5"/>
      <c r="P64" s="5"/>
      <c r="Q64" s="5"/>
      <c r="R64" s="5"/>
      <c r="S64" s="5"/>
      <c r="T64" s="5"/>
      <c r="U64">
        <v>-0.67519704232675104</v>
      </c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</row>
    <row r="65" spans="4:37" x14ac:dyDescent="0.2">
      <c r="L65" s="5"/>
      <c r="N65" s="6"/>
      <c r="O65" s="6"/>
      <c r="P65" s="6"/>
      <c r="Q65" s="6"/>
      <c r="R65" s="6"/>
      <c r="S65" s="5"/>
      <c r="T65" s="5"/>
      <c r="U65">
        <v>3.9902322652224702E-2</v>
      </c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</row>
    <row r="66" spans="4:37" x14ac:dyDescent="0.2">
      <c r="L66" s="5"/>
      <c r="T66" s="5"/>
      <c r="U66">
        <v>0.58732650521843299</v>
      </c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</row>
    <row r="67" spans="4:37" x14ac:dyDescent="0.2">
      <c r="L67" s="5"/>
      <c r="N67" s="5"/>
      <c r="O67" s="5"/>
      <c r="P67" s="5"/>
      <c r="Q67" s="5"/>
      <c r="R67" s="5"/>
      <c r="S67" s="5"/>
      <c r="T67" s="5"/>
      <c r="U67">
        <v>-0.76403772330525599</v>
      </c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</row>
    <row r="68" spans="4:37" x14ac:dyDescent="0.2"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</row>
    <row r="69" spans="4:37" x14ac:dyDescent="0.2"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</row>
    <row r="70" spans="4:37" x14ac:dyDescent="0.2"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/>
      <c r="AD70"/>
      <c r="AE70"/>
      <c r="AF70"/>
      <c r="AG70"/>
      <c r="AH70"/>
      <c r="AI70"/>
      <c r="AJ70" s="5"/>
      <c r="AK70" s="5"/>
    </row>
    <row r="71" spans="4:37" x14ac:dyDescent="0.2">
      <c r="K71" s="5"/>
      <c r="M71" s="3">
        <v>1</v>
      </c>
      <c r="N71" s="3">
        <v>2</v>
      </c>
      <c r="O71" s="3">
        <v>3</v>
      </c>
      <c r="P71" s="3">
        <v>4</v>
      </c>
      <c r="Q71" s="3">
        <v>5</v>
      </c>
      <c r="R71" s="3">
        <v>6</v>
      </c>
      <c r="S71" s="3">
        <v>7</v>
      </c>
      <c r="T71" s="3">
        <v>8</v>
      </c>
      <c r="U71" s="5">
        <v>9</v>
      </c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4:37" x14ac:dyDescent="0.2">
      <c r="K72" s="5"/>
      <c r="M72" s="3">
        <f t="shared" ref="M72:T72" si="18">(B44-M75)*M76-1</f>
        <v>0.5679753267301848</v>
      </c>
      <c r="N72" s="3">
        <f t="shared" si="18"/>
        <v>0.92456919152053518</v>
      </c>
      <c r="O72" s="3">
        <f t="shared" si="18"/>
        <v>0.36009483179968882</v>
      </c>
      <c r="P72" s="3">
        <f t="shared" si="18"/>
        <v>-0.57353810177597331</v>
      </c>
      <c r="Q72" s="3">
        <f t="shared" si="18"/>
        <v>0.20812769228820227</v>
      </c>
      <c r="R72" s="3">
        <f t="shared" si="18"/>
        <v>0.67855747094226282</v>
      </c>
      <c r="S72" s="3">
        <f t="shared" si="18"/>
        <v>0.74221488053258389</v>
      </c>
      <c r="T72" s="3">
        <f t="shared" si="18"/>
        <v>0.98000356513734932</v>
      </c>
      <c r="U72" s="3">
        <f>(J44-U75)*U76-1</f>
        <v>-0.47549529222055997</v>
      </c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4:37" x14ac:dyDescent="0.2">
      <c r="K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4:37" x14ac:dyDescent="0.2">
      <c r="K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4:37" x14ac:dyDescent="0.2">
      <c r="K75" s="3" t="s">
        <v>13</v>
      </c>
      <c r="L75" s="3" t="s">
        <v>12</v>
      </c>
      <c r="M75" s="3">
        <v>124.850998</v>
      </c>
      <c r="N75" s="3">
        <v>76.095489999999998</v>
      </c>
      <c r="O75" s="3">
        <v>83.920897999999994</v>
      </c>
      <c r="P75" s="3">
        <v>4.2066350000000003</v>
      </c>
      <c r="Q75" s="3">
        <v>18174.890625</v>
      </c>
      <c r="R75" s="3">
        <v>121.003235</v>
      </c>
      <c r="S75" s="3">
        <v>99.406799000000007</v>
      </c>
      <c r="T75" s="3">
        <v>72.382164000000003</v>
      </c>
      <c r="U75" s="3">
        <v>12.755000000000001</v>
      </c>
      <c r="V75" s="5"/>
    </row>
    <row r="76" spans="4:37" x14ac:dyDescent="0.2">
      <c r="D76" s="5"/>
      <c r="M76" s="3">
        <v>1.9001948317265802E-2</v>
      </c>
      <c r="N76" s="3">
        <v>0.21750918486910401</v>
      </c>
      <c r="O76" s="3">
        <v>0.35404816010907503</v>
      </c>
      <c r="P76" s="3">
        <v>0.366414317126462</v>
      </c>
      <c r="Q76" s="3">
        <v>2.83399252242656E-4</v>
      </c>
      <c r="R76" s="3">
        <v>2.3059707497526099E-2</v>
      </c>
      <c r="S76" s="3">
        <v>4.1245447533729198</v>
      </c>
      <c r="T76" s="3">
        <v>0.15809921737725399</v>
      </c>
      <c r="U76" s="3">
        <v>0.53269999999999995</v>
      </c>
      <c r="V76" s="5"/>
    </row>
    <row r="77" spans="4:37" x14ac:dyDescent="0.2">
      <c r="D77" s="6"/>
      <c r="U77" s="5"/>
      <c r="V77" s="5"/>
    </row>
    <row r="78" spans="4:37" x14ac:dyDescent="0.2">
      <c r="D78" s="4"/>
      <c r="F78" s="4"/>
      <c r="U78" s="5"/>
      <c r="V78" s="5"/>
    </row>
    <row r="79" spans="4:37" x14ac:dyDescent="0.2">
      <c r="L79" s="3" t="s">
        <v>11</v>
      </c>
      <c r="M79" s="3">
        <v>0.35099999999999998</v>
      </c>
      <c r="U79" s="5"/>
      <c r="V79" s="5"/>
    </row>
    <row r="80" spans="4:37" x14ac:dyDescent="0.2">
      <c r="L80" s="3" t="s">
        <v>14</v>
      </c>
      <c r="M80" s="3">
        <v>7.6</v>
      </c>
      <c r="U80" s="5"/>
      <c r="V80" s="5"/>
    </row>
    <row r="81" spans="1:38" x14ac:dyDescent="0.2">
      <c r="U81" s="5"/>
      <c r="V81" s="5"/>
    </row>
    <row r="83" spans="1:38" s="9" customFormat="1" x14ac:dyDescent="0.2"/>
    <row r="86" spans="1:38" x14ac:dyDescent="0.2">
      <c r="A86" s="3" t="s">
        <v>1</v>
      </c>
      <c r="B86" s="3" t="str">
        <f>D1</f>
        <v>Level OX-1202</v>
      </c>
      <c r="C86" s="3" t="str">
        <f>F1</f>
        <v>Temp OX-1202</v>
      </c>
      <c r="D86" s="3" t="str">
        <f>H1</f>
        <v>O2 Excess OX-1202</v>
      </c>
      <c r="E86" s="3" t="str">
        <f t="shared" ref="E86:G87" si="19">J1</f>
        <v>Air Feed OX-1202</v>
      </c>
      <c r="F86" s="3" t="str">
        <f t="shared" si="19"/>
        <v>Feed to PFC</v>
      </c>
      <c r="G86" s="3" t="str">
        <f t="shared" si="19"/>
        <v>Cumene in combined feed</v>
      </c>
      <c r="H86" s="3" t="str">
        <f>R1</f>
        <v>Level OX-1202 Last Hour</v>
      </c>
      <c r="I86" s="3" t="str">
        <f>S1</f>
        <v>Flow to OX-1202/OX-1201 outlet flow</v>
      </c>
      <c r="J86" s="3" t="s">
        <v>47</v>
      </c>
      <c r="K86" s="3" t="s">
        <v>50</v>
      </c>
      <c r="AA86" s="5"/>
      <c r="AB86" s="5"/>
      <c r="AC86" s="5"/>
      <c r="AD86" s="5"/>
      <c r="AE86" s="5"/>
      <c r="AF86" s="5"/>
      <c r="AG86" s="5"/>
    </row>
    <row r="87" spans="1:38" x14ac:dyDescent="0.2">
      <c r="B87" s="3">
        <f>D2</f>
        <v>83.082633970000003</v>
      </c>
      <c r="C87" s="3">
        <f>F2</f>
        <v>85.647575380000006</v>
      </c>
      <c r="D87" s="3">
        <f>H2</f>
        <v>4.8664345740000003</v>
      </c>
      <c r="E87" s="3">
        <f t="shared" si="19"/>
        <v>23531.783200000002</v>
      </c>
      <c r="F87" s="3">
        <f t="shared" si="19"/>
        <v>193.79502869999999</v>
      </c>
      <c r="G87" s="3">
        <f t="shared" si="19"/>
        <v>99.829200740000005</v>
      </c>
      <c r="H87" s="3">
        <f>R2</f>
        <v>83.524291989999995</v>
      </c>
      <c r="I87" s="3">
        <f>S2</f>
        <v>206.10430176309711</v>
      </c>
      <c r="J87" s="5">
        <f>J44</f>
        <v>13.739615558061649</v>
      </c>
      <c r="K87" s="5">
        <f>B47</f>
        <v>0.44793317045898962</v>
      </c>
      <c r="AA87" s="5"/>
      <c r="AB87" s="5"/>
      <c r="AC87" s="5"/>
      <c r="AD87" s="5"/>
      <c r="AE87" s="5"/>
      <c r="AF87" s="5"/>
      <c r="AG87" s="5"/>
    </row>
    <row r="88" spans="1:38" x14ac:dyDescent="0.2"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8" x14ac:dyDescent="0.2">
      <c r="K89" s="5"/>
      <c r="L89" s="5"/>
      <c r="M89" s="6" t="s">
        <v>2</v>
      </c>
      <c r="N89" s="6"/>
      <c r="O89" s="6"/>
      <c r="P89" s="6"/>
      <c r="Q89" s="6"/>
      <c r="R89" s="6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</row>
    <row r="90" spans="1:38" x14ac:dyDescent="0.2">
      <c r="A90" s="3" t="s">
        <v>15</v>
      </c>
      <c r="B90" s="7">
        <f>M122+(AL93+1)/M123</f>
        <v>28.294642714546981</v>
      </c>
      <c r="J90" s="3" t="s">
        <v>16</v>
      </c>
      <c r="K90" s="5"/>
      <c r="L90" s="5"/>
      <c r="M90" s="6" t="s">
        <v>1</v>
      </c>
      <c r="N90" s="6"/>
      <c r="O90" s="6"/>
      <c r="P90" s="6"/>
      <c r="Q90" s="6"/>
      <c r="R90" s="6"/>
      <c r="S90" s="5"/>
      <c r="T90" s="5"/>
      <c r="U90" s="5"/>
      <c r="V90" s="5"/>
      <c r="W90" s="5"/>
      <c r="X90" s="6" t="s">
        <v>8</v>
      </c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</row>
    <row r="91" spans="1:38" x14ac:dyDescent="0.2">
      <c r="A91" s="3" t="s">
        <v>46</v>
      </c>
      <c r="B91" s="3">
        <f>O2</f>
        <v>28.583000179999999</v>
      </c>
      <c r="J91" s="3" t="s">
        <v>18</v>
      </c>
      <c r="L91" s="8" t="s">
        <v>0</v>
      </c>
      <c r="M91" s="5">
        <v>1</v>
      </c>
      <c r="N91" s="5">
        <v>2</v>
      </c>
      <c r="O91" s="5">
        <v>3</v>
      </c>
      <c r="P91" s="5">
        <v>4</v>
      </c>
      <c r="Q91" s="5">
        <v>5</v>
      </c>
      <c r="R91" s="5">
        <v>6</v>
      </c>
      <c r="S91" s="5">
        <v>7</v>
      </c>
      <c r="T91" s="5">
        <v>8</v>
      </c>
      <c r="U91" s="5">
        <v>9</v>
      </c>
      <c r="V91" s="5">
        <v>10</v>
      </c>
      <c r="W91" s="5"/>
      <c r="X91" s="5">
        <v>1</v>
      </c>
      <c r="Y91" s="5">
        <v>2</v>
      </c>
      <c r="Z91" s="5">
        <v>3</v>
      </c>
      <c r="AA91" s="5">
        <v>4</v>
      </c>
      <c r="AB91" s="5">
        <v>5</v>
      </c>
      <c r="AC91" s="5">
        <v>6</v>
      </c>
      <c r="AD91" s="5">
        <v>7</v>
      </c>
      <c r="AE91" s="5">
        <v>8</v>
      </c>
      <c r="AF91" s="5">
        <v>9</v>
      </c>
      <c r="AG91" s="5">
        <v>10</v>
      </c>
      <c r="AH91" s="5" t="s">
        <v>5</v>
      </c>
      <c r="AI91" s="5" t="s">
        <v>10</v>
      </c>
      <c r="AJ91" s="5" t="s">
        <v>6</v>
      </c>
      <c r="AK91" s="5"/>
    </row>
    <row r="92" spans="1:38" x14ac:dyDescent="0.2">
      <c r="J92" s="3" t="s">
        <v>17</v>
      </c>
      <c r="L92" s="5">
        <v>1</v>
      </c>
      <c r="M92" s="3">
        <v>-4.7192084636074098E-2</v>
      </c>
      <c r="N92" s="3">
        <v>2.2217939665949E-2</v>
      </c>
      <c r="O92" s="3">
        <v>1.00879916453451E-2</v>
      </c>
      <c r="P92" s="3">
        <v>-5.6155669563083599E-2</v>
      </c>
      <c r="Q92" s="3">
        <v>7.7296376591702007E-2</v>
      </c>
      <c r="R92" s="3">
        <v>-4.0915028646453203E-2</v>
      </c>
      <c r="S92" s="3">
        <v>-3.9670130161478696E-3</v>
      </c>
      <c r="T92" s="3">
        <v>5.7842255772883898E-2</v>
      </c>
      <c r="U92" s="3">
        <v>-0.19933675218758501</v>
      </c>
      <c r="V92" s="3">
        <v>-0.107810150155737</v>
      </c>
      <c r="X92" s="5">
        <f>M$115*M92</f>
        <v>-2.1107230304003202E-2</v>
      </c>
      <c r="Y92" s="5">
        <f t="shared" ref="Y92:AF92" si="20">N$115*N92</f>
        <v>7.3886959828783167E-3</v>
      </c>
      <c r="Z92" s="5">
        <f t="shared" si="20"/>
        <v>-5.3055684842839429E-3</v>
      </c>
      <c r="AA92" s="5">
        <f t="shared" si="20"/>
        <v>-4.1999671742702837E-3</v>
      </c>
      <c r="AB92" s="5">
        <f t="shared" si="20"/>
        <v>4.1206901192268303E-2</v>
      </c>
      <c r="AC92" s="5">
        <f t="shared" si="20"/>
        <v>-4.0914974947041528E-2</v>
      </c>
      <c r="AD92" s="5">
        <f t="shared" si="20"/>
        <v>-1.9381105891265462E-3</v>
      </c>
      <c r="AE92" s="5">
        <f t="shared" si="20"/>
        <v>8.9192892869274668E-4</v>
      </c>
      <c r="AF92" s="5">
        <f t="shared" si="20"/>
        <v>0.10535860682357023</v>
      </c>
      <c r="AG92" s="5">
        <f>V$115*V92</f>
        <v>-2.0135879546977957E-4</v>
      </c>
      <c r="AH92" s="5">
        <f>SUM(X92:AG92)+T104</f>
        <v>0.10355888330200452</v>
      </c>
      <c r="AI92" s="5">
        <f>(-1+2/(1+EXP(-2*AH92)))</f>
        <v>0.1031902607731261</v>
      </c>
      <c r="AJ92" s="5">
        <f>AI92*M106</f>
        <v>-2.8341404565173447E-2</v>
      </c>
      <c r="AK92" s="5"/>
      <c r="AL92" s="3" t="s">
        <v>4</v>
      </c>
    </row>
    <row r="93" spans="1:38" x14ac:dyDescent="0.2">
      <c r="J93" s="3" t="s">
        <v>19</v>
      </c>
      <c r="L93" s="5">
        <v>2</v>
      </c>
      <c r="M93" s="3">
        <v>4.8789535369228497E-2</v>
      </c>
      <c r="N93" s="3">
        <v>-2.36980671786747E-2</v>
      </c>
      <c r="O93" s="3">
        <v>-8.9466309318071997E-3</v>
      </c>
      <c r="P93" s="3">
        <v>5.7034022844881703E-2</v>
      </c>
      <c r="Q93" s="3">
        <v>-7.8682637721759E-2</v>
      </c>
      <c r="R93" s="3">
        <v>4.0503814825257403E-2</v>
      </c>
      <c r="S93" s="3">
        <v>3.9740891243666299E-3</v>
      </c>
      <c r="T93" s="3">
        <v>-5.8814986866733102E-2</v>
      </c>
      <c r="U93" s="3">
        <v>0.20764093729019101</v>
      </c>
      <c r="V93" s="3">
        <v>0.111391510505507</v>
      </c>
      <c r="X93" s="5">
        <f t="shared" ref="X93:X96" si="21">M$115*M93</f>
        <v>2.182170945414048E-2</v>
      </c>
      <c r="Y93" s="5">
        <f t="shared" ref="Y93:Y96" si="22">N$115*N93</f>
        <v>-7.8809203912551563E-3</v>
      </c>
      <c r="Z93" s="5">
        <f t="shared" ref="Z93:Z96" si="23">O$115*O93</f>
        <v>4.7052936581503651E-3</v>
      </c>
      <c r="AA93" s="5">
        <f t="shared" ref="AA93:AA96" si="24">P$115*P93</f>
        <v>4.2656605402236619E-3</v>
      </c>
      <c r="AB93" s="5">
        <f t="shared" ref="AB93:AB96" si="25">Q$115*Q93</f>
        <v>-4.1945920638350245E-2</v>
      </c>
      <c r="AC93" s="5">
        <f t="shared" ref="AC93:AC96" si="26">R$115*R93</f>
        <v>4.0503761665548151E-2</v>
      </c>
      <c r="AD93" s="5">
        <f t="shared" ref="AD93:AD96" si="27">S$115*S93</f>
        <v>1.941567668851962E-3</v>
      </c>
      <c r="AE93" s="5">
        <f t="shared" ref="AE93:AE96" si="28">T$115*T93</f>
        <v>-9.069284647732495E-4</v>
      </c>
      <c r="AF93" s="5">
        <f t="shared" ref="AF93:AF96" si="29">U$115*U93</f>
        <v>-0.10974774913482992</v>
      </c>
      <c r="AG93" s="5">
        <f t="shared" ref="AG93:AG96" si="30">V$115*V93</f>
        <v>2.0804776125946816E-4</v>
      </c>
      <c r="AH93" s="5">
        <f>SUM(X93:AG93)+T105</f>
        <v>-0.11103891459309848</v>
      </c>
      <c r="AI93" s="5">
        <f>(-1+2/(1+EXP(-2*AH93)))</f>
        <v>-0.11058479746723426</v>
      </c>
      <c r="AJ93" s="5">
        <f>AI93*N106</f>
        <v>-3.1437060477052442E-2</v>
      </c>
      <c r="AK93" s="5"/>
      <c r="AL93" s="3">
        <f>SUM(AJ92:AJ104)+U104</f>
        <v>-0.36022207933254013</v>
      </c>
    </row>
    <row r="94" spans="1:38" x14ac:dyDescent="0.2">
      <c r="J94" s="3" t="s">
        <v>20</v>
      </c>
      <c r="L94" s="5">
        <v>3</v>
      </c>
      <c r="M94" s="3">
        <v>1.13389471735487E-3</v>
      </c>
      <c r="N94" s="3">
        <v>-0.102201785513654</v>
      </c>
      <c r="O94" s="3">
        <v>-2.52199162634952E-2</v>
      </c>
      <c r="P94" s="3">
        <v>0.124094885838873</v>
      </c>
      <c r="Q94" s="3">
        <v>-0.22647399809795199</v>
      </c>
      <c r="R94" s="3">
        <v>0.13891597189548899</v>
      </c>
      <c r="S94" s="3">
        <v>-6.24587173925467E-2</v>
      </c>
      <c r="T94" s="3">
        <v>7.9111226675218693E-2</v>
      </c>
      <c r="U94" s="3">
        <v>0.44727643909718201</v>
      </c>
      <c r="V94" s="3">
        <v>0.1094023374047</v>
      </c>
      <c r="X94" s="5">
        <f t="shared" si="21"/>
        <v>5.0714811867850714E-4</v>
      </c>
      <c r="Y94" s="5">
        <f t="shared" si="22"/>
        <v>-3.3987756444628564E-2</v>
      </c>
      <c r="Z94" s="5">
        <f t="shared" si="23"/>
        <v>1.326388815613485E-2</v>
      </c>
      <c r="AA94" s="5">
        <f t="shared" si="24"/>
        <v>9.2812435694064818E-3</v>
      </c>
      <c r="AB94" s="5">
        <f t="shared" si="25"/>
        <v>-0.12073388267002047</v>
      </c>
      <c r="AC94" s="5">
        <f t="shared" si="26"/>
        <v>0.13891578957358405</v>
      </c>
      <c r="AD94" s="5">
        <f t="shared" si="27"/>
        <v>-3.0514621723954777E-2</v>
      </c>
      <c r="AE94" s="5">
        <f t="shared" si="28"/>
        <v>1.2198969544523833E-3</v>
      </c>
      <c r="AF94" s="5">
        <f t="shared" si="29"/>
        <v>-0.23640609155676581</v>
      </c>
      <c r="AG94" s="5">
        <f t="shared" si="30"/>
        <v>2.043325498532992E-4</v>
      </c>
      <c r="AH94" s="5">
        <f>SUM(X94:AG94)+T106</f>
        <v>-0.42092716798164803</v>
      </c>
      <c r="AI94" s="5">
        <f>(-1+2/(1+EXP(-2*AH94)))</f>
        <v>-0.39771123360251814</v>
      </c>
      <c r="AJ94" s="5">
        <f>AI94*O106</f>
        <v>-0.2276903647360787</v>
      </c>
      <c r="AK94" s="5"/>
      <c r="AL94" s="3" t="s">
        <v>9</v>
      </c>
    </row>
    <row r="95" spans="1:38" x14ac:dyDescent="0.2">
      <c r="L95" s="5">
        <v>4</v>
      </c>
      <c r="M95" s="3">
        <v>4.7172278497033003E-2</v>
      </c>
      <c r="N95" s="3">
        <v>-2.21999756859605E-2</v>
      </c>
      <c r="O95" s="3">
        <v>-1.0100878349782599E-2</v>
      </c>
      <c r="P95" s="3">
        <v>5.6143722952851798E-2</v>
      </c>
      <c r="Q95" s="3">
        <v>-7.7277859777060601E-2</v>
      </c>
      <c r="R95" s="3">
        <v>4.0918509680494E-2</v>
      </c>
      <c r="S95" s="3">
        <v>3.9671087427725002E-3</v>
      </c>
      <c r="T95" s="3">
        <v>-5.7830183828388101E-2</v>
      </c>
      <c r="U95" s="3">
        <v>0.19923326613293599</v>
      </c>
      <c r="V95" s="3">
        <v>0.10776590433111</v>
      </c>
      <c r="X95" s="5">
        <f t="shared" si="21"/>
        <v>2.109837176890357E-2</v>
      </c>
      <c r="Y95" s="5">
        <f t="shared" si="22"/>
        <v>-7.3827219641901237E-3</v>
      </c>
      <c r="Z95" s="5">
        <f t="shared" si="23"/>
        <v>5.3123459773007442E-3</v>
      </c>
      <c r="AA95" s="5">
        <f t="shared" si="24"/>
        <v>4.1990736692830268E-3</v>
      </c>
      <c r="AB95" s="5">
        <f t="shared" si="25"/>
        <v>-4.1197029829793522E-2</v>
      </c>
      <c r="AC95" s="5">
        <f t="shared" si="26"/>
        <v>4.0918455976513599E-2</v>
      </c>
      <c r="AD95" s="5">
        <f t="shared" si="27"/>
        <v>1.9381573570055783E-3</v>
      </c>
      <c r="AE95" s="5">
        <f t="shared" si="28"/>
        <v>-8.9174277902798172E-4</v>
      </c>
      <c r="AF95" s="5">
        <f t="shared" si="29"/>
        <v>-0.10530390970212207</v>
      </c>
      <c r="AG95" s="5">
        <f t="shared" si="30"/>
        <v>2.0127615681341383E-4</v>
      </c>
      <c r="AH95" s="5">
        <f>SUM(X95:AG95)+T107</f>
        <v>-0.10346689356393526</v>
      </c>
      <c r="AI95" s="5">
        <f>(-1+2/(1+EXP(-2*AH95)))</f>
        <v>-0.10309924969927708</v>
      </c>
      <c r="AJ95" s="5">
        <f>AI95*P106</f>
        <v>-2.8303933774408426E-2</v>
      </c>
      <c r="AK95" s="5"/>
    </row>
    <row r="96" spans="1:38" x14ac:dyDescent="0.2">
      <c r="L96" s="5"/>
      <c r="M96" s="3">
        <v>4.7803654299198001E-2</v>
      </c>
      <c r="N96" s="3">
        <v>-2.27775419717605E-2</v>
      </c>
      <c r="O96" s="3">
        <v>-9.6750654694344497E-3</v>
      </c>
      <c r="P96" s="3">
        <v>5.6512097429679498E-2</v>
      </c>
      <c r="Q96" s="3">
        <v>-7.7852736137649203E-2</v>
      </c>
      <c r="R96" s="3">
        <v>4.0788273525888603E-2</v>
      </c>
      <c r="S96" s="3">
        <v>3.9660654117682501E-3</v>
      </c>
      <c r="T96" s="3">
        <v>-5.8214128700733801E-2</v>
      </c>
      <c r="U96" s="3">
        <v>0.202527617934427</v>
      </c>
      <c r="V96" s="3">
        <v>0.109178363348434</v>
      </c>
      <c r="X96" s="5">
        <f t="shared" si="21"/>
        <v>2.1380762228393559E-2</v>
      </c>
      <c r="Y96" s="5">
        <f t="shared" si="22"/>
        <v>-7.5747947558125021E-3</v>
      </c>
      <c r="Z96" s="5">
        <f t="shared" si="23"/>
        <v>5.0883985874137028E-3</v>
      </c>
      <c r="AA96" s="5">
        <f t="shared" si="24"/>
        <v>4.2266249516834144E-3</v>
      </c>
      <c r="AB96" s="5">
        <f t="shared" si="25"/>
        <v>-4.1503497926140075E-2</v>
      </c>
      <c r="AC96" s="5">
        <f t="shared" si="26"/>
        <v>4.078821999283818E-2</v>
      </c>
      <c r="AD96" s="5">
        <f t="shared" si="27"/>
        <v>1.9376476307054451E-3</v>
      </c>
      <c r="AE96" s="5">
        <f t="shared" si="28"/>
        <v>-8.9766321788522477E-4</v>
      </c>
      <c r="AF96" s="5">
        <f t="shared" si="29"/>
        <v>-0.10704512557116154</v>
      </c>
      <c r="AG96" s="5">
        <f t="shared" si="30"/>
        <v>2.0391422981459178E-4</v>
      </c>
      <c r="AH96" s="5">
        <f>SUM(X96:AG96)+T108</f>
        <v>-0.10641055499022624</v>
      </c>
      <c r="AI96" s="5">
        <f>(-1+2/(1+EXP(-2*AH96)))</f>
        <v>-0.10601072959564439</v>
      </c>
      <c r="AJ96" s="5">
        <f>AI96*Q106</f>
        <v>-2.9510239912802324E-2</v>
      </c>
      <c r="AK96" s="5"/>
    </row>
    <row r="97" spans="12:38" x14ac:dyDescent="0.2">
      <c r="L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</row>
    <row r="98" spans="12:38" x14ac:dyDescent="0.2">
      <c r="L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</row>
    <row r="99" spans="12:38" x14ac:dyDescent="0.2"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</row>
    <row r="100" spans="12:38" x14ac:dyDescent="0.2"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</row>
    <row r="101" spans="12:38" x14ac:dyDescent="0.2"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</row>
    <row r="102" spans="12:38" x14ac:dyDescent="0.2"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</row>
    <row r="103" spans="12:38" x14ac:dyDescent="0.2"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</row>
    <row r="104" spans="12:38" x14ac:dyDescent="0.2">
      <c r="L104" s="5"/>
      <c r="M104" s="6" t="s">
        <v>7</v>
      </c>
      <c r="N104" s="6"/>
      <c r="O104" s="6"/>
      <c r="P104" s="6"/>
      <c r="Q104" s="6"/>
      <c r="R104" s="6"/>
      <c r="S104" s="6" t="s">
        <v>3</v>
      </c>
      <c r="T104" s="3">
        <v>2.2379960668790201E-2</v>
      </c>
      <c r="U104" s="3">
        <v>-1.49390758670248E-2</v>
      </c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</row>
    <row r="105" spans="12:38" x14ac:dyDescent="0.2">
      <c r="L105" s="5"/>
      <c r="M105" s="5">
        <v>1</v>
      </c>
      <c r="N105" s="5">
        <v>2</v>
      </c>
      <c r="O105" s="5">
        <v>3</v>
      </c>
      <c r="P105" s="5">
        <v>4</v>
      </c>
      <c r="Q105" s="5"/>
      <c r="R105" s="5"/>
      <c r="S105" s="6"/>
      <c r="T105" s="3">
        <v>-2.4003436712064001E-2</v>
      </c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</row>
    <row r="106" spans="12:38" x14ac:dyDescent="0.2">
      <c r="L106" s="5"/>
      <c r="M106" s="3">
        <v>-0.27465193277769501</v>
      </c>
      <c r="N106" s="3">
        <v>0.28428012888812398</v>
      </c>
      <c r="O106" s="3">
        <v>0.57250171858016397</v>
      </c>
      <c r="P106" s="3">
        <v>0.27453093845945697</v>
      </c>
      <c r="Q106" s="3">
        <v>0.27837031237651999</v>
      </c>
      <c r="S106" s="6"/>
      <c r="T106" s="3">
        <v>-0.16267711450838801</v>
      </c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</row>
    <row r="107" spans="12:38" x14ac:dyDescent="0.2">
      <c r="L107" s="5"/>
      <c r="M107" s="5"/>
      <c r="N107" s="5"/>
      <c r="O107" s="5"/>
      <c r="P107" s="5"/>
      <c r="Q107" s="5"/>
      <c r="R107" s="5"/>
      <c r="S107" s="6"/>
      <c r="T107" s="3">
        <v>-2.2359170194621501E-2</v>
      </c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</row>
    <row r="108" spans="12:38" x14ac:dyDescent="0.2">
      <c r="L108" s="5"/>
      <c r="M108" s="6"/>
      <c r="N108" s="6"/>
      <c r="O108" s="6"/>
      <c r="P108" s="6"/>
      <c r="Q108" s="6"/>
      <c r="R108" s="6"/>
      <c r="S108" s="6"/>
      <c r="T108" s="3">
        <v>-2.3015041140075802E-2</v>
      </c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</row>
    <row r="109" spans="12:38" x14ac:dyDescent="0.2">
      <c r="L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</row>
    <row r="110" spans="12:38" x14ac:dyDescent="0.2">
      <c r="L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</row>
    <row r="111" spans="12:38" x14ac:dyDescent="0.2"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</row>
    <row r="112" spans="12:38" x14ac:dyDescent="0.2"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</row>
    <row r="113" spans="4:38" x14ac:dyDescent="0.2"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</row>
    <row r="114" spans="4:38" x14ac:dyDescent="0.2">
      <c r="K114" s="5"/>
      <c r="M114" s="3">
        <v>1</v>
      </c>
      <c r="N114" s="3">
        <v>2</v>
      </c>
      <c r="O114" s="3">
        <v>3</v>
      </c>
      <c r="P114" s="3">
        <v>4</v>
      </c>
      <c r="Q114" s="3">
        <v>5</v>
      </c>
      <c r="R114" s="3">
        <v>6</v>
      </c>
      <c r="S114" s="3">
        <v>7</v>
      </c>
      <c r="T114" s="3">
        <v>8</v>
      </c>
      <c r="U114" s="5">
        <v>9</v>
      </c>
      <c r="V114" s="5">
        <v>10</v>
      </c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</row>
    <row r="115" spans="4:38" x14ac:dyDescent="0.2">
      <c r="K115" s="5"/>
      <c r="M115" s="3">
        <f>(B87-M118)*M119-1</f>
        <v>0.44726208784319366</v>
      </c>
      <c r="N115" s="3">
        <f t="shared" ref="N115:V115" si="31">(C87-N118)*N119-1</f>
        <v>0.3325554076556505</v>
      </c>
      <c r="O115" s="3">
        <f t="shared" si="31"/>
        <v>-0.52592911164157141</v>
      </c>
      <c r="P115" s="3">
        <f t="shared" si="31"/>
        <v>7.4791507374908361E-2</v>
      </c>
      <c r="Q115" s="3">
        <f t="shared" si="31"/>
        <v>0.53310262407166942</v>
      </c>
      <c r="R115" s="3">
        <f t="shared" si="31"/>
        <v>0.99999868753821142</v>
      </c>
      <c r="S115" s="3">
        <f t="shared" si="31"/>
        <v>0.48855664986159542</v>
      </c>
      <c r="T115" s="3">
        <f t="shared" si="31"/>
        <v>1.5420023247275871E-2</v>
      </c>
      <c r="U115" s="3">
        <f t="shared" si="31"/>
        <v>-0.5285458184069487</v>
      </c>
      <c r="V115" s="3">
        <f t="shared" si="31"/>
        <v>1.8677164921754308E-3</v>
      </c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</row>
    <row r="116" spans="4:38" x14ac:dyDescent="0.2">
      <c r="K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</row>
    <row r="117" spans="4:38" x14ac:dyDescent="0.2">
      <c r="K117" s="5"/>
      <c r="U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</row>
    <row r="118" spans="4:38" x14ac:dyDescent="0.2">
      <c r="K118" s="3" t="s">
        <v>13</v>
      </c>
      <c r="L118" s="3" t="s">
        <v>12</v>
      </c>
      <c r="M118" s="3">
        <v>77.167511000000005</v>
      </c>
      <c r="N118" s="3">
        <v>81.443481000000006</v>
      </c>
      <c r="O118" s="3">
        <v>4.2717289999999997</v>
      </c>
      <c r="P118" s="3">
        <v>20897.097659999999</v>
      </c>
      <c r="Q118" s="3">
        <v>148.023087</v>
      </c>
      <c r="R118" s="3">
        <v>99.432998999999995</v>
      </c>
      <c r="S118" s="3">
        <v>77.224784999999997</v>
      </c>
      <c r="T118" s="3">
        <v>141.062318</v>
      </c>
      <c r="U118" s="3">
        <v>12.783630241327</v>
      </c>
      <c r="V118" s="3">
        <v>0.28444287535496199</v>
      </c>
      <c r="W118" s="3">
        <v>26.154152606448299</v>
      </c>
    </row>
    <row r="119" spans="4:38" x14ac:dyDescent="0.2">
      <c r="D119" s="5"/>
      <c r="M119" s="3">
        <v>0.244671513201558</v>
      </c>
      <c r="N119" s="3">
        <v>0.31696610190174901</v>
      </c>
      <c r="O119" s="3">
        <v>0.797152253290345</v>
      </c>
      <c r="P119" s="3">
        <v>4.07939198457402E-4</v>
      </c>
      <c r="Q119" s="3">
        <v>3.3494375967704902E-2</v>
      </c>
      <c r="R119" s="3">
        <v>5.0479300962640004</v>
      </c>
      <c r="S119" s="3">
        <v>0.23629732488979999</v>
      </c>
      <c r="T119" s="3">
        <v>1.56117628107062E-2</v>
      </c>
      <c r="U119" s="3">
        <v>0.49316048409968599</v>
      </c>
      <c r="V119" s="3">
        <v>6.1279950339235398</v>
      </c>
      <c r="W119" s="3">
        <v>0.328451253175918</v>
      </c>
    </row>
    <row r="120" spans="4:38" x14ac:dyDescent="0.2">
      <c r="D120" s="6"/>
      <c r="U120" s="5"/>
      <c r="V120" s="5"/>
      <c r="W120" s="5"/>
    </row>
    <row r="121" spans="4:38" x14ac:dyDescent="0.2">
      <c r="D121" s="4"/>
      <c r="F121" s="4"/>
      <c r="U121" s="5"/>
      <c r="V121" s="5"/>
      <c r="W121" s="5"/>
    </row>
    <row r="122" spans="4:38" x14ac:dyDescent="0.2">
      <c r="L122" s="3" t="s">
        <v>11</v>
      </c>
      <c r="M122" s="3">
        <v>25.652999999999999</v>
      </c>
      <c r="U122" s="5"/>
      <c r="V122" s="5"/>
      <c r="W122" s="5"/>
    </row>
    <row r="123" spans="4:38" x14ac:dyDescent="0.2">
      <c r="L123" s="3" t="s">
        <v>14</v>
      </c>
      <c r="M123" s="3">
        <v>0.24218942143248001</v>
      </c>
      <c r="U123" s="5"/>
      <c r="V123" s="5"/>
      <c r="W123" s="5"/>
    </row>
    <row r="124" spans="4:38" x14ac:dyDescent="0.2">
      <c r="U124" s="5"/>
      <c r="V124" s="5"/>
      <c r="W124" s="5"/>
    </row>
    <row r="125" spans="4:38" x14ac:dyDescent="0.2">
      <c r="T125" s="5"/>
    </row>
    <row r="126" spans="4:38" x14ac:dyDescent="0.2">
      <c r="T126" s="5"/>
    </row>
    <row r="127" spans="4:38" x14ac:dyDescent="0.2">
      <c r="T127" s="5"/>
    </row>
    <row r="128" spans="4:38" s="9" customFormat="1" x14ac:dyDescent="0.2"/>
    <row r="131" spans="1:40" x14ac:dyDescent="0.2">
      <c r="AA131" s="5"/>
      <c r="AB131" s="5"/>
      <c r="AC131" s="5"/>
      <c r="AD131" s="5"/>
      <c r="AE131" s="5"/>
      <c r="AF131" s="5"/>
      <c r="AG131" s="5"/>
    </row>
    <row r="132" spans="1:40" x14ac:dyDescent="0.2">
      <c r="A132" s="3" t="s">
        <v>1</v>
      </c>
      <c r="B132" s="3" t="s">
        <v>23</v>
      </c>
      <c r="C132" s="3" t="s">
        <v>25</v>
      </c>
      <c r="D132" s="4" t="s">
        <v>27</v>
      </c>
      <c r="E132" s="4" t="s">
        <v>29</v>
      </c>
      <c r="F132" s="4" t="s">
        <v>30</v>
      </c>
      <c r="G132" s="4" t="s">
        <v>31</v>
      </c>
      <c r="H132" s="4" t="s">
        <v>37</v>
      </c>
      <c r="I132" s="4" t="s">
        <v>38</v>
      </c>
      <c r="J132" s="5" t="s">
        <v>47</v>
      </c>
      <c r="K132" s="5" t="s">
        <v>50</v>
      </c>
      <c r="L132" s="5" t="s">
        <v>51</v>
      </c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</row>
    <row r="133" spans="1:40" x14ac:dyDescent="0.2">
      <c r="B133" s="3">
        <f>B87</f>
        <v>83.082633970000003</v>
      </c>
      <c r="C133" s="3">
        <f t="shared" ref="C133:K133" si="32">C87</f>
        <v>85.647575380000006</v>
      </c>
      <c r="D133" s="3">
        <f t="shared" si="32"/>
        <v>4.8664345740000003</v>
      </c>
      <c r="E133" s="3">
        <f t="shared" si="32"/>
        <v>23531.783200000002</v>
      </c>
      <c r="F133" s="3">
        <f t="shared" si="32"/>
        <v>193.79502869999999</v>
      </c>
      <c r="G133" s="3">
        <f t="shared" si="32"/>
        <v>99.829200740000005</v>
      </c>
      <c r="H133" s="3">
        <f t="shared" si="32"/>
        <v>83.524291989999995</v>
      </c>
      <c r="I133" s="3">
        <f t="shared" si="32"/>
        <v>206.10430176309711</v>
      </c>
      <c r="J133" s="3">
        <f>J87</f>
        <v>13.739615558061649</v>
      </c>
      <c r="K133" s="3">
        <f t="shared" si="32"/>
        <v>0.44793317045898962</v>
      </c>
      <c r="L133" s="5">
        <f>B90</f>
        <v>28.294642714546981</v>
      </c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</row>
    <row r="134" spans="1:40" x14ac:dyDescent="0.2"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</row>
    <row r="135" spans="1:40" x14ac:dyDescent="0.2">
      <c r="K135" s="5"/>
      <c r="L135" s="5"/>
      <c r="M135" s="6" t="s">
        <v>2</v>
      </c>
      <c r="N135" s="6"/>
      <c r="O135" s="6"/>
      <c r="P135" s="6"/>
      <c r="Q135" s="6"/>
      <c r="R135" s="6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</row>
    <row r="136" spans="1:40" x14ac:dyDescent="0.2">
      <c r="A136" s="3" t="s">
        <v>15</v>
      </c>
      <c r="B136" s="7">
        <f>M168+(AN139+1)/M169</f>
        <v>1.0718507204299779</v>
      </c>
      <c r="J136" s="3" t="s">
        <v>16</v>
      </c>
      <c r="K136" s="5"/>
      <c r="L136" s="5"/>
      <c r="M136" s="6" t="s">
        <v>1</v>
      </c>
      <c r="N136" s="6"/>
      <c r="O136" s="6"/>
      <c r="P136" s="6"/>
      <c r="Q136" s="6"/>
      <c r="R136" s="6"/>
      <c r="S136" s="5"/>
      <c r="T136" s="5"/>
      <c r="U136" s="5"/>
      <c r="V136" s="5"/>
      <c r="W136" s="5"/>
      <c r="X136" s="5"/>
      <c r="Y136" s="6" t="s">
        <v>8</v>
      </c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</row>
    <row r="137" spans="1:40" x14ac:dyDescent="0.2">
      <c r="A137" s="3" t="s">
        <v>46</v>
      </c>
      <c r="B137" s="3">
        <f>P2</f>
        <v>1.1189999580000001</v>
      </c>
      <c r="J137" s="3" t="s">
        <v>18</v>
      </c>
      <c r="L137" s="8" t="s">
        <v>0</v>
      </c>
      <c r="M137" s="5">
        <v>1</v>
      </c>
      <c r="N137" s="5">
        <v>2</v>
      </c>
      <c r="O137" s="5">
        <v>3</v>
      </c>
      <c r="P137" s="5">
        <v>4</v>
      </c>
      <c r="Q137" s="5">
        <v>5</v>
      </c>
      <c r="R137" s="5">
        <v>6</v>
      </c>
      <c r="S137" s="5">
        <v>7</v>
      </c>
      <c r="T137" s="5">
        <v>8</v>
      </c>
      <c r="U137" s="5">
        <v>9</v>
      </c>
      <c r="V137" s="5">
        <v>10</v>
      </c>
      <c r="W137" s="5">
        <v>11</v>
      </c>
      <c r="X137" s="5"/>
      <c r="Y137" s="5">
        <v>1</v>
      </c>
      <c r="Z137" s="5">
        <v>2</v>
      </c>
      <c r="AA137" s="5">
        <v>3</v>
      </c>
      <c r="AB137" s="5">
        <v>4</v>
      </c>
      <c r="AC137" s="5">
        <v>5</v>
      </c>
      <c r="AD137" s="5">
        <v>6</v>
      </c>
      <c r="AE137" s="5">
        <v>7</v>
      </c>
      <c r="AF137" s="5">
        <v>8</v>
      </c>
      <c r="AG137" s="5">
        <v>9</v>
      </c>
      <c r="AH137" s="5">
        <v>10</v>
      </c>
      <c r="AI137" s="5"/>
      <c r="AJ137" s="5" t="s">
        <v>5</v>
      </c>
      <c r="AK137" s="5" t="s">
        <v>10</v>
      </c>
      <c r="AL137" s="5" t="s">
        <v>6</v>
      </c>
      <c r="AM137" s="5"/>
    </row>
    <row r="138" spans="1:40" x14ac:dyDescent="0.2">
      <c r="J138" s="3" t="s">
        <v>17</v>
      </c>
      <c r="L138" s="5">
        <v>1</v>
      </c>
      <c r="M138" s="3">
        <v>2.61309949651868E-2</v>
      </c>
      <c r="N138" s="3">
        <v>2.0188208838533301E-2</v>
      </c>
      <c r="O138" s="3">
        <v>-7.1231621060361502E-2</v>
      </c>
      <c r="P138" s="3">
        <v>-3.0518047461488802E-2</v>
      </c>
      <c r="Q138" s="3">
        <v>2.9247116872412701E-2</v>
      </c>
      <c r="R138" s="3">
        <v>-2.85010739972065E-2</v>
      </c>
      <c r="S138" s="3">
        <v>3.2078899207181003E-2</v>
      </c>
      <c r="T138" s="3">
        <v>-1.2066263542671899E-2</v>
      </c>
      <c r="U138" s="3">
        <v>-6.3844098029629301E-2</v>
      </c>
      <c r="V138" s="3">
        <v>3.3226221072265201E-2</v>
      </c>
      <c r="W138" s="3">
        <v>-3.0802348178166201E-2</v>
      </c>
      <c r="Y138" s="5">
        <f>M$161*M138</f>
        <v>1.168740336554943E-2</v>
      </c>
      <c r="Z138" s="5">
        <f t="shared" ref="Z138:AH138" si="33">N$161*N138</f>
        <v>6.7136980201358484E-3</v>
      </c>
      <c r="AA138" s="5">
        <f t="shared" si="33"/>
        <v>3.7462783185064977E-2</v>
      </c>
      <c r="AB138" s="5">
        <f t="shared" si="33"/>
        <v>-2.2824907717837431E-3</v>
      </c>
      <c r="AC138" s="5">
        <f t="shared" si="33"/>
        <v>1.5591714751214007E-2</v>
      </c>
      <c r="AD138" s="5">
        <f t="shared" si="33"/>
        <v>-2.8501036590635943E-2</v>
      </c>
      <c r="AE138" s="5">
        <f t="shared" si="33"/>
        <v>1.5672359527908141E-2</v>
      </c>
      <c r="AF138" s="5">
        <f t="shared" si="33"/>
        <v>-1.8606206433575799E-4</v>
      </c>
      <c r="AG138" s="5">
        <f t="shared" si="33"/>
        <v>3.374453104352388E-2</v>
      </c>
      <c r="AH138" s="5">
        <f t="shared" si="33"/>
        <v>6.2057161069336544E-5</v>
      </c>
      <c r="AI138" s="5"/>
      <c r="AJ138" s="5">
        <f>SUM(Y138:AH138)+U150</f>
        <v>9.6736618479749792E-2</v>
      </c>
      <c r="AK138" s="5">
        <f>(-1+2/(1+EXP(-2*AJ138)))</f>
        <v>9.643599083642318E-2</v>
      </c>
      <c r="AL138" s="5">
        <f>AK138*M152</f>
        <v>1.2478240351932755E-2</v>
      </c>
      <c r="AM138" s="5"/>
      <c r="AN138" s="3" t="s">
        <v>4</v>
      </c>
    </row>
    <row r="139" spans="1:40" x14ac:dyDescent="0.2">
      <c r="J139" s="3" t="s">
        <v>19</v>
      </c>
      <c r="L139" s="5">
        <v>2</v>
      </c>
      <c r="M139" s="3">
        <v>2.9994680751215301E-2</v>
      </c>
      <c r="N139" s="3">
        <v>2.3592542875314201E-2</v>
      </c>
      <c r="O139" s="3">
        <v>-8.67505819597994E-2</v>
      </c>
      <c r="P139" s="3">
        <v>-3.7232383202218403E-2</v>
      </c>
      <c r="Q139" s="3">
        <v>3.3087441052917603E-2</v>
      </c>
      <c r="R139" s="3">
        <v>-3.3101094785927897E-2</v>
      </c>
      <c r="S139" s="3">
        <v>3.7349004002497799E-2</v>
      </c>
      <c r="T139" s="3">
        <v>-1.50985039219672E-2</v>
      </c>
      <c r="U139" s="3">
        <v>-7.5698186245025001E-2</v>
      </c>
      <c r="V139" s="3">
        <v>4.2160431062577303E-2</v>
      </c>
      <c r="W139" s="3">
        <v>-3.4943455101359003E-2</v>
      </c>
      <c r="Y139" s="5">
        <f t="shared" ref="Y139:Y144" si="34">M$161*M139</f>
        <v>1.3415483536978608E-2</v>
      </c>
      <c r="Z139" s="5">
        <f t="shared" ref="Z139:Z144" si="35">N$161*N139</f>
        <v>7.8458277135335271E-3</v>
      </c>
      <c r="AA139" s="5">
        <f t="shared" ref="AA139:AA144" si="36">O$161*O139</f>
        <v>4.562465650450663E-2</v>
      </c>
      <c r="AB139" s="5">
        <f t="shared" ref="AB139:AB144" si="37">P$161*P139</f>
        <v>-2.7846660628541319E-3</v>
      </c>
      <c r="AC139" s="5">
        <f t="shared" ref="AC139:AC144" si="38">Q$161*Q139</f>
        <v>1.7639001649127056E-2</v>
      </c>
      <c r="AD139" s="5">
        <f t="shared" ref="AD139:AD144" si="39">R$161*R139</f>
        <v>-3.3101051342005833E-2</v>
      </c>
      <c r="AE139" s="5">
        <f t="shared" ref="AE139:AE144" si="40">S$161*S139</f>
        <v>1.8247104271127641E-2</v>
      </c>
      <c r="AF139" s="5">
        <f t="shared" ref="AF139:AF144" si="41">T$161*T139</f>
        <v>-2.3281928147582013E-4</v>
      </c>
      <c r="AG139" s="5">
        <f t="shared" ref="AG139:AG144" si="42">U$161*U139</f>
        <v>4.0009959800798363E-2</v>
      </c>
      <c r="AH139" s="5">
        <f t="shared" ref="AH139:AH144" si="43">V$161*V139</f>
        <v>7.8743732412800955E-5</v>
      </c>
      <c r="AI139" s="5"/>
      <c r="AJ139" s="5">
        <f t="shared" ref="AJ139:AJ142" si="44">SUM(Y139:AH139)+U151</f>
        <v>0.11343794831364173</v>
      </c>
      <c r="AK139" s="5">
        <f>(-1+2/(1+EXP(-2*AJ139)))</f>
        <v>0.11295386036116706</v>
      </c>
      <c r="AL139" s="5">
        <f>AK139*N152</f>
        <v>1.7541266726299756E-2</v>
      </c>
      <c r="AM139" s="5"/>
      <c r="AN139" s="3">
        <f>SUM(AL138:AL150)+V150</f>
        <v>-0.39982077586580261</v>
      </c>
    </row>
    <row r="140" spans="1:40" x14ac:dyDescent="0.2">
      <c r="J140" s="3" t="s">
        <v>20</v>
      </c>
      <c r="L140" s="5">
        <v>3</v>
      </c>
      <c r="M140" s="3">
        <v>0.62985944447429798</v>
      </c>
      <c r="N140" s="3">
        <v>0.297268726318973</v>
      </c>
      <c r="O140" s="3">
        <v>-0.13665307955522199</v>
      </c>
      <c r="P140" s="3">
        <v>-7.2179779703250194E-2</v>
      </c>
      <c r="Q140" s="3">
        <v>0.40414203327904902</v>
      </c>
      <c r="R140" s="3">
        <v>0.29864034113076598</v>
      </c>
      <c r="S140" s="3">
        <v>0.487931539983395</v>
      </c>
      <c r="T140" s="3">
        <v>3.4386999780450699E-2</v>
      </c>
      <c r="U140" s="3">
        <v>-0.19703559687916</v>
      </c>
      <c r="V140" s="3">
        <v>-0.121256607343661</v>
      </c>
      <c r="W140" s="3">
        <v>-0.23194539542624701</v>
      </c>
      <c r="Y140" s="5">
        <f t="shared" si="34"/>
        <v>0.28171225018332863</v>
      </c>
      <c r="Z140" s="5">
        <f t="shared" si="35"/>
        <v>9.885832246428207E-2</v>
      </c>
      <c r="AA140" s="5">
        <f t="shared" si="36"/>
        <v>7.1869832733562886E-2</v>
      </c>
      <c r="AB140" s="5">
        <f t="shared" si="37"/>
        <v>-5.3984345259948975E-3</v>
      </c>
      <c r="AC140" s="5">
        <f t="shared" si="38"/>
        <v>0.21544917843872097</v>
      </c>
      <c r="AD140" s="5">
        <f t="shared" si="39"/>
        <v>0.2986399491767297</v>
      </c>
      <c r="AE140" s="5">
        <f t="shared" si="40"/>
        <v>0.23838219853609655</v>
      </c>
      <c r="AF140" s="5">
        <f t="shared" si="41"/>
        <v>5.3024833601862003E-4</v>
      </c>
      <c r="AG140" s="5">
        <f t="shared" si="42"/>
        <v>0.10414234080779725</v>
      </c>
      <c r="AH140" s="5">
        <f t="shared" si="43"/>
        <v>-2.2647296532099612E-4</v>
      </c>
      <c r="AI140" s="5"/>
      <c r="AJ140" s="5">
        <f t="shared" si="44"/>
        <v>1.7446564467571808</v>
      </c>
      <c r="AK140" s="5">
        <f>(-1+2/(1+EXP(-2*AJ140)))</f>
        <v>0.94076430865925786</v>
      </c>
      <c r="AL140" s="5">
        <f>AK140*O152</f>
        <v>-0.67099162146025126</v>
      </c>
      <c r="AM140" s="5"/>
      <c r="AN140" s="3" t="s">
        <v>9</v>
      </c>
    </row>
    <row r="141" spans="1:40" x14ac:dyDescent="0.2">
      <c r="L141" s="5">
        <v>4</v>
      </c>
      <c r="M141" s="3">
        <v>0.15719152107980999</v>
      </c>
      <c r="N141" s="3">
        <v>0.24843375282091901</v>
      </c>
      <c r="O141" s="3">
        <v>-9.21543253128604E-2</v>
      </c>
      <c r="P141" s="3">
        <v>0.163000627096476</v>
      </c>
      <c r="Q141" s="3">
        <v>0.105541830025114</v>
      </c>
      <c r="R141" s="3">
        <v>-0.25569116449444002</v>
      </c>
      <c r="S141" s="3">
        <v>0.230038669055383</v>
      </c>
      <c r="T141" s="3">
        <v>0.121586598487538</v>
      </c>
      <c r="U141" s="3">
        <v>-6.5241600348022899E-2</v>
      </c>
      <c r="V141" s="3">
        <v>0.61481030985701102</v>
      </c>
      <c r="W141" s="3">
        <v>0.13392366508072501</v>
      </c>
      <c r="Y141" s="5">
        <f t="shared" si="34"/>
        <v>7.0305807909403203E-2</v>
      </c>
      <c r="Z141" s="5">
        <f t="shared" si="35"/>
        <v>8.2617987944783838E-2</v>
      </c>
      <c r="AA141" s="5">
        <f t="shared" si="36"/>
        <v>4.8466642445721048E-2</v>
      </c>
      <c r="AB141" s="5">
        <f t="shared" si="37"/>
        <v>1.2191062603600773E-2</v>
      </c>
      <c r="AC141" s="5">
        <f t="shared" si="38"/>
        <v>5.6264626535714381E-2</v>
      </c>
      <c r="AD141" s="5">
        <f t="shared" si="39"/>
        <v>-0.25569082890955691</v>
      </c>
      <c r="AE141" s="5">
        <f t="shared" si="40"/>
        <v>0.11238692149231817</v>
      </c>
      <c r="AF141" s="5">
        <f t="shared" si="41"/>
        <v>1.8748681752350333E-3</v>
      </c>
      <c r="AG141" s="5">
        <f t="shared" si="42"/>
        <v>3.4483175050124833E-2</v>
      </c>
      <c r="AH141" s="5">
        <f t="shared" si="43"/>
        <v>1.1482913552794264E-3</v>
      </c>
      <c r="AI141" s="5"/>
      <c r="AJ141" s="5">
        <f t="shared" si="44"/>
        <v>0.19972979654949585</v>
      </c>
      <c r="AK141" s="5">
        <f>(-1+2/(1+EXP(-2*AJ141)))</f>
        <v>0.19711562925143644</v>
      </c>
      <c r="AL141" s="5">
        <f>AK141*P152</f>
        <v>0.13154204266968136</v>
      </c>
      <c r="AM141" s="5"/>
    </row>
    <row r="142" spans="1:40" x14ac:dyDescent="0.2">
      <c r="L142" s="5"/>
      <c r="M142" s="3">
        <v>2.7722612704483798E-2</v>
      </c>
      <c r="N142" s="3">
        <v>2.1518589291166301E-2</v>
      </c>
      <c r="O142" s="3">
        <v>-7.7135850332448103E-2</v>
      </c>
      <c r="P142" s="3">
        <v>-3.31329609439543E-2</v>
      </c>
      <c r="Q142" s="3">
        <v>3.0833234968322399E-2</v>
      </c>
      <c r="R142" s="3">
        <v>-3.0359818349977401E-2</v>
      </c>
      <c r="S142" s="3">
        <v>3.4213779290579102E-2</v>
      </c>
      <c r="T142" s="3">
        <v>-1.3175257694913499E-2</v>
      </c>
      <c r="U142" s="3">
        <v>-6.8500309692173203E-2</v>
      </c>
      <c r="V142" s="3">
        <v>3.6529857134820001E-2</v>
      </c>
      <c r="W142" s="3">
        <v>-3.2538370911758402E-2</v>
      </c>
      <c r="Y142" s="5">
        <f t="shared" si="34"/>
        <v>1.2399273638675668E-2</v>
      </c>
      <c r="Z142" s="5">
        <f t="shared" si="35"/>
        <v>7.1561232338983247E-3</v>
      </c>
      <c r="AA142" s="5">
        <f t="shared" si="36"/>
        <v>4.0567989241061642E-2</v>
      </c>
      <c r="AB142" s="5">
        <f t="shared" si="37"/>
        <v>-2.4780640927923089E-3</v>
      </c>
      <c r="AC142" s="5">
        <f t="shared" si="38"/>
        <v>1.6437278470231027E-2</v>
      </c>
      <c r="AD142" s="5">
        <f t="shared" si="39"/>
        <v>-3.035977850387591E-2</v>
      </c>
      <c r="AE142" s="5">
        <f t="shared" si="40"/>
        <v>1.671536938930936E-2</v>
      </c>
      <c r="AF142" s="5">
        <f t="shared" si="41"/>
        <v>-2.0316277994441646E-4</v>
      </c>
      <c r="AG142" s="5">
        <f t="shared" si="42"/>
        <v>3.6205552247379126E-2</v>
      </c>
      <c r="AH142" s="5">
        <f t="shared" si="43"/>
        <v>6.8227416627515645E-5</v>
      </c>
      <c r="AI142" s="5"/>
      <c r="AJ142" s="5">
        <f t="shared" si="44"/>
        <v>0.1032696032598594</v>
      </c>
      <c r="AK142" s="5">
        <f>(-1+2/(1+EXP(-2*AJ142)))</f>
        <v>0.10290405251579493</v>
      </c>
      <c r="AL142" s="5">
        <f>AK142*Q152</f>
        <v>1.4348554689230271E-2</v>
      </c>
      <c r="AM142" s="5"/>
    </row>
    <row r="143" spans="1:40" x14ac:dyDescent="0.2">
      <c r="L143" s="5"/>
      <c r="M143" s="3">
        <v>2.12509055202472E-2</v>
      </c>
      <c r="N143" s="3">
        <v>1.6329138140665399E-2</v>
      </c>
      <c r="O143" s="3">
        <v>-5.5374619633584803E-2</v>
      </c>
      <c r="P143" s="3">
        <v>-2.3413431346674701E-2</v>
      </c>
      <c r="Q143" s="3">
        <v>2.4218974757604799E-2</v>
      </c>
      <c r="R143" s="3">
        <v>-2.2969266356761799E-2</v>
      </c>
      <c r="S143" s="3">
        <v>2.5750124677653599E-2</v>
      </c>
      <c r="T143" s="3">
        <v>-9.2558525372474793E-3</v>
      </c>
      <c r="U143" s="3">
        <v>-5.0631369797038903E-2</v>
      </c>
      <c r="V143" s="3">
        <v>2.49096251117111E-2</v>
      </c>
      <c r="W143" s="3">
        <v>-2.52904817618189E-2</v>
      </c>
      <c r="Y143" s="5">
        <f t="shared" si="34"/>
        <v>9.5047243715442129E-3</v>
      </c>
      <c r="Z143" s="5">
        <f t="shared" si="35"/>
        <v>5.4303431910344129E-3</v>
      </c>
      <c r="AA143" s="5">
        <f t="shared" si="36"/>
        <v>2.9123124511381174E-2</v>
      </c>
      <c r="AB143" s="5">
        <f t="shared" si="37"/>
        <v>-1.7511258232367315E-3</v>
      </c>
      <c r="AC143" s="5">
        <f t="shared" si="38"/>
        <v>1.2911198995604643E-2</v>
      </c>
      <c r="AD143" s="5">
        <f t="shared" si="39"/>
        <v>-2.2969236210477393E-2</v>
      </c>
      <c r="AE143" s="5">
        <f t="shared" si="40"/>
        <v>1.2580394646032837E-2</v>
      </c>
      <c r="AF143" s="5">
        <f t="shared" si="41"/>
        <v>-1.427254612977135E-4</v>
      </c>
      <c r="AG143" s="5">
        <f t="shared" si="42"/>
        <v>2.6760998786440792E-2</v>
      </c>
      <c r="AH143" s="5">
        <f t="shared" si="43"/>
        <v>4.6524117635050081E-5</v>
      </c>
      <c r="AI143" s="5"/>
      <c r="AJ143" s="5">
        <f>SUM(Y143:AH143)+U155</f>
        <v>7.7927696599304583E-2</v>
      </c>
      <c r="AK143" s="5">
        <f t="shared" ref="AK143:AK144" si="45">(-1+2/(1+EXP(-2*AJ143)))</f>
        <v>7.7770334321694001E-2</v>
      </c>
      <c r="AL143" s="5">
        <f>AK143*R152</f>
        <v>7.9019392717268079E-3</v>
      </c>
      <c r="AM143" s="5"/>
    </row>
    <row r="144" spans="1:40" x14ac:dyDescent="0.2">
      <c r="L144" s="5"/>
      <c r="M144" s="3">
        <v>-1.34379266000567E-2</v>
      </c>
      <c r="N144" s="3">
        <v>-1.0315466646843499E-2</v>
      </c>
      <c r="O144" s="3">
        <v>3.3569833123019997E-2</v>
      </c>
      <c r="P144" s="3">
        <v>1.39063442275826E-2</v>
      </c>
      <c r="Q144" s="3">
        <v>-1.5633583219131501E-2</v>
      </c>
      <c r="R144" s="3">
        <v>1.43972113501071E-2</v>
      </c>
      <c r="S144" s="3">
        <v>-1.60639695115854E-2</v>
      </c>
      <c r="T144" s="3">
        <v>5.5740891427620096E-3</v>
      </c>
      <c r="U144" s="3">
        <v>3.1255897181598498E-2</v>
      </c>
      <c r="V144" s="3">
        <v>-1.45590118732469E-2</v>
      </c>
      <c r="W144" s="3">
        <v>1.6125926775055598E-2</v>
      </c>
      <c r="Y144" s="5">
        <f t="shared" si="34"/>
        <v>-6.0102751074249481E-3</v>
      </c>
      <c r="Z144" s="5">
        <f t="shared" si="35"/>
        <v>-3.4304642158993061E-3</v>
      </c>
      <c r="AA144" s="5">
        <f t="shared" si="36"/>
        <v>-1.7655352512345707E-2</v>
      </c>
      <c r="AB144" s="5">
        <f t="shared" si="37"/>
        <v>1.0400764468552583E-3</v>
      </c>
      <c r="AC144" s="5">
        <f t="shared" si="38"/>
        <v>-8.3343042377618196E-3</v>
      </c>
      <c r="AD144" s="5">
        <f t="shared" si="39"/>
        <v>1.439719245431734E-2</v>
      </c>
      <c r="AE144" s="5">
        <f t="shared" si="40"/>
        <v>-7.8481591280589718E-3</v>
      </c>
      <c r="AF144" s="5">
        <f t="shared" si="41"/>
        <v>8.5952584163778215E-5</v>
      </c>
      <c r="AG144" s="5">
        <f t="shared" si="42"/>
        <v>-1.6520173755891418E-2</v>
      </c>
      <c r="AH144" s="5">
        <f t="shared" si="43"/>
        <v>-2.719210658544115E-5</v>
      </c>
      <c r="AI144" s="5"/>
      <c r="AJ144" s="5">
        <f>SUM(Y144:AH144)+U156</f>
        <v>-4.9050680383719993E-2</v>
      </c>
      <c r="AK144" s="5">
        <f t="shared" si="45"/>
        <v>-4.9011380062597754E-2</v>
      </c>
      <c r="AL144" s="5">
        <f>AK144*S152</f>
        <v>3.0448066675166363E-3</v>
      </c>
      <c r="AM144" s="5"/>
    </row>
    <row r="145" spans="11:40" x14ac:dyDescent="0.2"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</row>
    <row r="146" spans="11:40" x14ac:dyDescent="0.2"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</row>
    <row r="147" spans="11:40" x14ac:dyDescent="0.2"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</row>
    <row r="148" spans="11:40" x14ac:dyDescent="0.2"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</row>
    <row r="149" spans="11:40" x14ac:dyDescent="0.2">
      <c r="L149" s="5"/>
      <c r="M149" s="5"/>
      <c r="N149" s="5"/>
      <c r="O149" s="5"/>
      <c r="P149" s="5"/>
      <c r="Q149" s="5"/>
      <c r="R149" s="5"/>
      <c r="S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</row>
    <row r="150" spans="11:40" x14ac:dyDescent="0.2">
      <c r="L150" s="5"/>
      <c r="M150" s="6" t="s">
        <v>7</v>
      </c>
      <c r="N150" s="6"/>
      <c r="O150" s="6"/>
      <c r="P150" s="6"/>
      <c r="Q150" s="6"/>
      <c r="R150" s="6"/>
      <c r="S150" s="5"/>
      <c r="T150" s="6" t="s">
        <v>3</v>
      </c>
      <c r="U150" s="3">
        <v>6.7716608520396104E-3</v>
      </c>
      <c r="V150" s="3">
        <v>8.4313995218061003E-2</v>
      </c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</row>
    <row r="151" spans="11:40" x14ac:dyDescent="0.2">
      <c r="L151" s="5"/>
      <c r="M151" s="5">
        <v>1</v>
      </c>
      <c r="N151" s="5">
        <v>2</v>
      </c>
      <c r="O151" s="5">
        <v>3</v>
      </c>
      <c r="P151" s="5">
        <v>4</v>
      </c>
      <c r="Q151" s="5"/>
      <c r="R151" s="5"/>
      <c r="S151" s="5"/>
      <c r="T151" s="6"/>
      <c r="U151" s="3">
        <v>6.6957077914928803E-3</v>
      </c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</row>
    <row r="152" spans="11:40" x14ac:dyDescent="0.2">
      <c r="L152" s="5"/>
      <c r="M152" s="3">
        <v>0.12939401818454499</v>
      </c>
      <c r="N152" s="3">
        <v>0.15529585859404901</v>
      </c>
      <c r="O152" s="3">
        <v>-0.71324094173653696</v>
      </c>
      <c r="P152" s="3">
        <v>0.66733441264512405</v>
      </c>
      <c r="Q152" s="3">
        <v>0.13943624510830499</v>
      </c>
      <c r="R152" s="3">
        <v>0.101606085927839</v>
      </c>
      <c r="S152" s="3">
        <v>-6.2124483408297897E-2</v>
      </c>
      <c r="T152" s="6"/>
      <c r="U152" s="3">
        <v>0.44069703357196</v>
      </c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</row>
    <row r="153" spans="11:40" x14ac:dyDescent="0.2">
      <c r="L153" s="5"/>
      <c r="M153" s="5"/>
      <c r="N153" s="5"/>
      <c r="O153" s="5"/>
      <c r="P153" s="5"/>
      <c r="Q153" s="5"/>
      <c r="R153" s="5"/>
      <c r="S153" s="5"/>
      <c r="T153" s="6"/>
      <c r="U153" s="3">
        <v>3.5681241946872097E-2</v>
      </c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</row>
    <row r="154" spans="11:40" x14ac:dyDescent="0.2">
      <c r="L154" s="5"/>
      <c r="T154" s="6"/>
      <c r="U154" s="3">
        <v>6.7607949992893801E-3</v>
      </c>
      <c r="V154" s="5"/>
      <c r="W154" s="5"/>
      <c r="X154" s="5"/>
      <c r="Y154" s="5"/>
      <c r="Z154" s="5"/>
      <c r="AA154" s="6"/>
      <c r="AB154" s="6"/>
      <c r="AC154" s="6"/>
      <c r="AD154" s="6"/>
      <c r="AE154" s="6"/>
      <c r="AF154" s="6"/>
      <c r="AG154" s="5"/>
      <c r="AH154" s="5"/>
      <c r="AI154" s="5"/>
      <c r="AJ154" s="5"/>
      <c r="AK154" s="5"/>
      <c r="AL154" s="5"/>
      <c r="AM154" s="5"/>
    </row>
    <row r="155" spans="11:40" x14ac:dyDescent="0.2">
      <c r="L155" s="5"/>
      <c r="T155" s="6"/>
      <c r="U155" s="3">
        <v>6.4334754746432996E-3</v>
      </c>
      <c r="W155" s="5"/>
      <c r="X155" s="5"/>
      <c r="Y155" s="5"/>
      <c r="Z155" s="5"/>
      <c r="AH155" s="5"/>
      <c r="AI155" s="5"/>
      <c r="AJ155" s="5"/>
      <c r="AK155" s="5"/>
      <c r="AL155" s="5"/>
      <c r="AM155" s="5"/>
    </row>
    <row r="156" spans="11:40" x14ac:dyDescent="0.2">
      <c r="L156" s="5"/>
      <c r="N156" s="5"/>
      <c r="O156" s="5"/>
      <c r="P156" s="5"/>
      <c r="Q156" s="5"/>
      <c r="R156" s="5"/>
      <c r="S156" s="5"/>
      <c r="T156" s="5"/>
      <c r="U156" s="3">
        <v>-4.7479808050887497E-3</v>
      </c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</row>
    <row r="157" spans="11:40" x14ac:dyDescent="0.2"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11:40" x14ac:dyDescent="0.2"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11:40" x14ac:dyDescent="0.2"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11:40" x14ac:dyDescent="0.2">
      <c r="K160" s="5"/>
      <c r="M160" s="3">
        <v>1</v>
      </c>
      <c r="N160" s="3">
        <v>2</v>
      </c>
      <c r="O160" s="3">
        <v>3</v>
      </c>
      <c r="P160" s="3">
        <v>4</v>
      </c>
      <c r="Q160" s="3">
        <v>5</v>
      </c>
      <c r="R160" s="3">
        <v>6</v>
      </c>
      <c r="S160" s="3">
        <v>7</v>
      </c>
      <c r="T160" s="3">
        <v>8</v>
      </c>
      <c r="U160" s="5">
        <v>9</v>
      </c>
      <c r="V160" s="5">
        <v>10</v>
      </c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</row>
    <row r="161" spans="4:39" x14ac:dyDescent="0.2">
      <c r="K161" s="5"/>
      <c r="M161" s="3">
        <f t="shared" ref="M161:T161" si="46">(B133-M164)*M165-1</f>
        <v>0.44726208784319366</v>
      </c>
      <c r="N161" s="3">
        <f t="shared" si="46"/>
        <v>0.3325554076556505</v>
      </c>
      <c r="O161" s="3">
        <f t="shared" si="46"/>
        <v>-0.52592911164157141</v>
      </c>
      <c r="P161" s="3">
        <f t="shared" si="46"/>
        <v>7.4791507374908361E-2</v>
      </c>
      <c r="Q161" s="3">
        <f t="shared" si="46"/>
        <v>0.53310262407166942</v>
      </c>
      <c r="R161" s="3">
        <f t="shared" si="46"/>
        <v>0.99999868753821142</v>
      </c>
      <c r="S161" s="3">
        <f t="shared" si="46"/>
        <v>0.48855664986159542</v>
      </c>
      <c r="T161" s="3">
        <f t="shared" si="46"/>
        <v>1.5420023247275871E-2</v>
      </c>
      <c r="U161" s="3">
        <f>(J133-U164)*U165-1</f>
        <v>-0.5285458184069487</v>
      </c>
      <c r="V161" s="3">
        <f>(K133-V164)*V165-1</f>
        <v>1.8677164921754308E-3</v>
      </c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</row>
    <row r="162" spans="4:39" x14ac:dyDescent="0.2">
      <c r="K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</row>
    <row r="163" spans="4:39" x14ac:dyDescent="0.2">
      <c r="K163" s="5"/>
      <c r="U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</row>
    <row r="164" spans="4:39" x14ac:dyDescent="0.2">
      <c r="K164" s="3" t="s">
        <v>13</v>
      </c>
      <c r="L164" s="3" t="s">
        <v>12</v>
      </c>
      <c r="M164" s="3">
        <v>77.167511000000005</v>
      </c>
      <c r="N164" s="3">
        <v>81.443481000000006</v>
      </c>
      <c r="O164" s="3">
        <v>4.2717289999999997</v>
      </c>
      <c r="P164" s="3">
        <v>20897.097659999999</v>
      </c>
      <c r="Q164" s="3">
        <v>148.023087</v>
      </c>
      <c r="R164" s="3">
        <v>99.432998999999995</v>
      </c>
      <c r="S164" s="3">
        <v>77.224784999999997</v>
      </c>
      <c r="T164" s="3">
        <v>141.062318</v>
      </c>
      <c r="U164" s="3">
        <v>12.783630241327</v>
      </c>
      <c r="V164" s="3">
        <v>0.28444287535496199</v>
      </c>
      <c r="W164" s="3">
        <v>26.154152606448299</v>
      </c>
    </row>
    <row r="165" spans="4:39" x14ac:dyDescent="0.2">
      <c r="D165" s="5"/>
      <c r="M165" s="3">
        <v>0.244671513201558</v>
      </c>
      <c r="N165" s="3">
        <v>0.31696610190174901</v>
      </c>
      <c r="O165" s="3">
        <v>0.797152253290345</v>
      </c>
      <c r="P165" s="3">
        <v>4.07939198457402E-4</v>
      </c>
      <c r="Q165" s="3">
        <v>3.3494375967704902E-2</v>
      </c>
      <c r="R165" s="3">
        <v>5.0479300962640004</v>
      </c>
      <c r="S165" s="3">
        <v>0.23629732488979999</v>
      </c>
      <c r="T165" s="3">
        <v>1.56117628107062E-2</v>
      </c>
      <c r="U165" s="3">
        <v>0.49316048409968599</v>
      </c>
      <c r="V165" s="3">
        <v>6.1279950339235398</v>
      </c>
      <c r="W165" s="3">
        <v>0.328451253175918</v>
      </c>
    </row>
    <row r="166" spans="4:39" x14ac:dyDescent="0.2">
      <c r="D166" s="6"/>
      <c r="U166" s="5"/>
      <c r="V166" s="5"/>
      <c r="W166" s="5"/>
      <c r="X166" s="5"/>
    </row>
    <row r="167" spans="4:39" x14ac:dyDescent="0.2">
      <c r="D167" s="4"/>
      <c r="F167" s="4"/>
      <c r="U167" s="5"/>
      <c r="V167" s="5"/>
      <c r="W167" s="5"/>
      <c r="X167" s="5"/>
    </row>
    <row r="168" spans="4:39" x14ac:dyDescent="0.2">
      <c r="L168" s="3" t="s">
        <v>11</v>
      </c>
      <c r="M168" s="3">
        <v>0.90200000000000002</v>
      </c>
      <c r="U168" s="5"/>
      <c r="V168" s="5"/>
      <c r="W168" s="5"/>
      <c r="X168" s="5"/>
    </row>
    <row r="169" spans="4:39" x14ac:dyDescent="0.2">
      <c r="L169" s="3" t="s">
        <v>14</v>
      </c>
      <c r="M169" s="3">
        <v>3.5335689045936398</v>
      </c>
      <c r="U169" s="5"/>
      <c r="V169" s="5"/>
      <c r="W169" s="5"/>
      <c r="X169" s="5"/>
    </row>
    <row r="170" spans="4:39" x14ac:dyDescent="0.2">
      <c r="U170" s="5"/>
      <c r="V170" s="5"/>
      <c r="W170" s="5"/>
      <c r="X170" s="5"/>
    </row>
    <row r="171" spans="4:39" x14ac:dyDescent="0.2">
      <c r="T171" s="5"/>
    </row>
    <row r="172" spans="4:39" x14ac:dyDescent="0.2">
      <c r="T172" s="5"/>
    </row>
    <row r="173" spans="4:39" x14ac:dyDescent="0.2">
      <c r="T173" s="5"/>
    </row>
    <row r="174" spans="4:39" x14ac:dyDescent="0.2">
      <c r="T174" s="5"/>
    </row>
  </sheetData>
  <sheetProtection algorithmName="SHA-512" hashValue="2GMAEXKPnZ+vjhEcspLiY/K+GVUWzDHaJFOk4fxIKoMUFQx1aVhrTFKlqAG9b2GqRfnc6rEpcDKSBH0V9xmuyw==" saltValue="dHaDi5yDcVy5lsDcM4Wnwg==" spinCount="100000" sheet="1" objects="1" scenarios="1" selectLockedCells="1" selectUnlockedCell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Prototype</vt:lpstr>
      <vt:lpstr>Database</vt:lpstr>
      <vt:lpstr>Sheet1</vt:lpstr>
      <vt:lpstr>Monitor</vt:lpstr>
      <vt:lpstr>Calculation</vt:lpstr>
    </vt:vector>
  </TitlesOfParts>
  <Company>PTTGC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Thanasan T &lt;T-TE-PT/2253&gt;</dc:creator>
  <cp:lastModifiedBy>Tiradon M &lt;T-TE-PE&gt;</cp:lastModifiedBy>
  <dcterms:created xsi:type="dcterms:W3CDTF">2018-12-07T08:32:18Z</dcterms:created>
  <dcterms:modified xsi:type="dcterms:W3CDTF">2018-12-19T08:31:05Z</dcterms:modified>
</cp:coreProperties>
</file>